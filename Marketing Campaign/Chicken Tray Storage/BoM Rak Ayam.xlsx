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za\OneDrive\Desktop\"/>
    </mc:Choice>
  </mc:AlternateContent>
  <xr:revisionPtr revIDLastSave="0" documentId="10_ncr:8100000_{E1177E52-3C2C-4923-8C64-62ECDD38D8B0}" xr6:coauthVersionLast="32" xr6:coauthVersionMax="32" xr10:uidLastSave="{00000000-0000-0000-0000-000000000000}"/>
  <bookViews>
    <workbookView xWindow="0" yWindow="0" windowWidth="23040" windowHeight="9195" xr2:uid="{00000000-000D-0000-FFFF-FFFF00000000}"/>
  </bookViews>
  <sheets>
    <sheet name="BoM" sheetId="2" r:id="rId1"/>
  </sheets>
  <definedNames>
    <definedName name="_xlnm.Print_Area" localSheetId="0">BoM!$A$1:$K$14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2" l="1"/>
  <c r="H32" i="2"/>
  <c r="J32" i="2" s="1"/>
  <c r="H30" i="2"/>
  <c r="J30" i="2" s="1"/>
  <c r="H29" i="2"/>
  <c r="J29" i="2" s="1"/>
  <c r="H28" i="2"/>
  <c r="H27" i="2"/>
  <c r="H26" i="2"/>
  <c r="J16" i="2"/>
  <c r="H15" i="2"/>
  <c r="J15" i="2" s="1"/>
  <c r="H13" i="2"/>
  <c r="J13" i="2" s="1"/>
  <c r="H12" i="2"/>
  <c r="J12" i="2" s="1"/>
  <c r="H10" i="2"/>
  <c r="H11" i="2"/>
  <c r="H9" i="2"/>
  <c r="J26" i="2" l="1"/>
  <c r="J9" i="2"/>
  <c r="J17" i="2" s="1"/>
  <c r="J34" i="2"/>
  <c r="J35" i="2" l="1"/>
  <c r="J36" i="2" s="1"/>
  <c r="J18" i="2"/>
  <c r="J19" i="2" s="1"/>
</calcChain>
</file>

<file path=xl/sharedStrings.xml><?xml version="1.0" encoding="utf-8"?>
<sst xmlns="http://schemas.openxmlformats.org/spreadsheetml/2006/main" count="63" uniqueCount="36">
  <si>
    <t>No.</t>
  </si>
  <si>
    <t>Bill of Materials</t>
  </si>
  <si>
    <t>Dimensi</t>
  </si>
  <si>
    <t>Name Material</t>
  </si>
  <si>
    <t>SS 304 Hollow 40 x 40</t>
  </si>
  <si>
    <t>Roda Castor 2"</t>
  </si>
  <si>
    <t>2"</t>
  </si>
  <si>
    <t>Jumlah Rak</t>
  </si>
  <si>
    <t>Total Harga</t>
  </si>
  <si>
    <t>Plate 1mm</t>
  </si>
  <si>
    <t>Plate 1,2 mm</t>
  </si>
  <si>
    <t>Plat Tebal 1.0 mm</t>
  </si>
  <si>
    <t>Plat Tebal 1.2 mm</t>
  </si>
  <si>
    <t>Jasa (30%)</t>
  </si>
  <si>
    <t>Total Harga Material</t>
  </si>
  <si>
    <t>Total</t>
  </si>
  <si>
    <t>Tidak usah beli, menggunakan sisa hollow 40x40 (part nomor 2, 3, 4)</t>
  </si>
  <si>
    <t>925 x 628 mm</t>
  </si>
  <si>
    <t xml:space="preserve">925 x 628 mm </t>
  </si>
  <si>
    <t>Tidak usah beli, pakai sisa plat tray (part 8)</t>
  </si>
  <si>
    <t>L-Frame 30 x 30</t>
  </si>
  <si>
    <t>Keterangan</t>
  </si>
  <si>
    <t>*</t>
  </si>
  <si>
    <t>**</t>
  </si>
  <si>
    <t>Jumlah part yang didapat dari satu batang / lembar raw material</t>
  </si>
  <si>
    <t>Kebutuhan Part / Rak</t>
  </si>
  <si>
    <t>Part per Raw Material *</t>
  </si>
  <si>
    <t>Kebutuhan Raw Material</t>
  </si>
  <si>
    <t>Harga umum dimarketplace</t>
  </si>
  <si>
    <t>550 ***</t>
  </si>
  <si>
    <t>60 X 1650 ***</t>
  </si>
  <si>
    <t>***</t>
  </si>
  <si>
    <t>Material menggunakan sisa potongan material</t>
  </si>
  <si>
    <t>Harga per pcs Material **</t>
  </si>
  <si>
    <t>Round Bar Diameter 12</t>
  </si>
  <si>
    <t>Round Bar Diameter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</si>
</sst>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Rp&quot;#,##0"/>
    <numFmt numFmtId="166" formatCode="[$IDR]\ #,##0;\-[$IDR]\ #,##0"/>
    <numFmt numFmtId="167" formatCode="[$IDR]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41" fontId="1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right" vertical="center" indent="1"/>
    </xf>
    <xf numFmtId="164" fontId="1" fillId="0" borderId="1" xfId="0" applyNumberFormat="1" applyFont="1" applyBorder="1" applyAlignment="1">
      <alignment horizontal="right" vertical="center" inden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right" vertical="center" indent="1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left" vertical="center" indent="1"/>
    </xf>
    <xf numFmtId="41" fontId="1" fillId="0" borderId="2" xfId="1" applyFont="1" applyBorder="1" applyAlignment="1">
      <alignment horizontal="center" vertical="center"/>
    </xf>
    <xf numFmtId="41" fontId="1" fillId="0" borderId="3" xfId="1" applyFont="1" applyBorder="1" applyAlignment="1">
      <alignment horizontal="center" vertical="center"/>
    </xf>
    <xf numFmtId="41" fontId="1" fillId="0" borderId="4" xfId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right" vertical="center" indent="1"/>
    </xf>
    <xf numFmtId="167" fontId="1" fillId="0" borderId="3" xfId="0" applyNumberFormat="1" applyFont="1" applyBorder="1" applyAlignment="1">
      <alignment horizontal="right" vertical="center" indent="1"/>
    </xf>
    <xf numFmtId="167" fontId="1" fillId="0" borderId="4" xfId="0" applyNumberFormat="1" applyFont="1" applyBorder="1" applyAlignment="1">
      <alignment horizontal="right" vertical="center" indent="1"/>
    </xf>
    <xf numFmtId="0" fontId="1" fillId="0" borderId="2" xfId="0" applyFont="1" applyBorder="1" applyAlignment="1">
      <alignment horizontal="right" vertical="center" indent="1"/>
    </xf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 applyAlignment="1">
      <alignment horizontal="right" vertical="center" indent="1"/>
    </xf>
    <xf numFmtId="166" fontId="1" fillId="0" borderId="1" xfId="0" applyNumberFormat="1" applyFont="1" applyBorder="1" applyAlignment="1">
      <alignment horizontal="right" vertical="center" indent="1"/>
    </xf>
    <xf numFmtId="1" fontId="1" fillId="0" borderId="1" xfId="0" applyNumberFormat="1" applyFont="1" applyBorder="1" applyAlignment="1">
      <alignment horizontal="right" vertical="center" inden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indent="1"/>
    </xf>
    <xf numFmtId="0" fontId="1" fillId="0" borderId="5" xfId="0" applyFont="1" applyBorder="1" applyAlignment="1">
      <alignment horizontal="right" vertical="center" indent="1"/>
    </xf>
    <xf numFmtId="0" fontId="1" fillId="0" borderId="1" xfId="0" applyFont="1" applyBorder="1" applyAlignment="1">
      <alignment horizontal="left" vertical="center" wrapText="1" indent="1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I29" sqref="I29"/>
    </sheetView>
  </sheetViews>
  <sheetFormatPr defaultRowHeight="15" x14ac:dyDescent="0.25"/>
  <cols>
    <col min="2" max="2" width="6.28515625" style="1" customWidth="1"/>
    <col min="3" max="3" width="39" bestFit="1" customWidth="1"/>
    <col min="4" max="4" width="19.85546875" style="3" customWidth="1"/>
    <col min="5" max="5" width="21.42578125" style="3" customWidth="1"/>
    <col min="6" max="6" width="22" bestFit="1" customWidth="1"/>
    <col min="7" max="7" width="13.5703125" style="3" customWidth="1"/>
    <col min="8" max="8" width="22.7109375" style="3" bestFit="1" customWidth="1"/>
    <col min="9" max="9" width="24.7109375" customWidth="1"/>
    <col min="10" max="10" width="19.28515625" bestFit="1" customWidth="1"/>
    <col min="11" max="11" width="43.85546875" customWidth="1"/>
  </cols>
  <sheetData>
    <row r="1" spans="1:12" ht="20.100000000000001" customHeight="1" x14ac:dyDescent="0.25">
      <c r="A1" s="4"/>
      <c r="B1" s="5"/>
      <c r="C1" s="4"/>
      <c r="D1" s="6"/>
      <c r="E1" s="6"/>
      <c r="F1" s="4"/>
      <c r="G1" s="6"/>
      <c r="H1" s="6"/>
      <c r="I1" s="4"/>
      <c r="J1" s="4"/>
      <c r="K1" s="4"/>
      <c r="L1" s="4"/>
    </row>
    <row r="2" spans="1:12" ht="20.100000000000001" customHeight="1" x14ac:dyDescent="0.25">
      <c r="A2" s="4"/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4"/>
    </row>
    <row r="3" spans="1:12" ht="20.100000000000001" customHeight="1" x14ac:dyDescent="0.25">
      <c r="A3" s="4"/>
      <c r="B3" s="12"/>
      <c r="C3" s="12"/>
      <c r="D3" s="12"/>
      <c r="E3" s="12"/>
      <c r="F3" s="12"/>
      <c r="G3" s="12"/>
      <c r="H3" s="12"/>
      <c r="I3" s="12"/>
      <c r="J3" s="12"/>
      <c r="K3" s="4"/>
      <c r="L3" s="4"/>
    </row>
    <row r="4" spans="1:12" ht="20.100000000000001" customHeight="1" x14ac:dyDescent="0.25">
      <c r="A4" s="4"/>
      <c r="B4" s="7" t="s">
        <v>11</v>
      </c>
      <c r="C4" s="7"/>
      <c r="D4" s="6"/>
      <c r="E4" s="6"/>
      <c r="F4" s="4"/>
      <c r="G4" s="6"/>
      <c r="H4" s="6"/>
      <c r="I4" s="4"/>
      <c r="J4" s="4"/>
      <c r="K4" s="4"/>
      <c r="L4" s="4"/>
    </row>
    <row r="5" spans="1:12" s="27" customFormat="1" ht="20.100000000000001" customHeight="1" x14ac:dyDescent="0.25">
      <c r="A5" s="26"/>
      <c r="B5" s="13" t="s">
        <v>0</v>
      </c>
      <c r="C5" s="13" t="s">
        <v>3</v>
      </c>
      <c r="D5" s="13" t="s">
        <v>2</v>
      </c>
      <c r="E5" s="13" t="s">
        <v>25</v>
      </c>
      <c r="F5" s="13" t="s">
        <v>26</v>
      </c>
      <c r="G5" s="13" t="s">
        <v>7</v>
      </c>
      <c r="H5" s="13" t="s">
        <v>27</v>
      </c>
      <c r="I5" s="13" t="s">
        <v>33</v>
      </c>
      <c r="J5" s="13" t="s">
        <v>8</v>
      </c>
      <c r="K5" s="13" t="s">
        <v>21</v>
      </c>
      <c r="L5" s="26"/>
    </row>
    <row r="6" spans="1:12" ht="20.100000000000001" customHeight="1" x14ac:dyDescent="0.25">
      <c r="A6" s="4"/>
      <c r="B6" s="14">
        <v>1</v>
      </c>
      <c r="C6" s="30" t="s">
        <v>4</v>
      </c>
      <c r="D6" s="28" t="s">
        <v>29</v>
      </c>
      <c r="E6" s="14"/>
      <c r="F6" s="25"/>
      <c r="G6" s="37">
        <v>50</v>
      </c>
      <c r="H6" s="14"/>
      <c r="I6" s="31"/>
      <c r="J6" s="37"/>
      <c r="K6" s="45" t="s">
        <v>16</v>
      </c>
      <c r="L6" s="4"/>
    </row>
    <row r="7" spans="1:12" ht="20.100000000000001" customHeight="1" x14ac:dyDescent="0.25">
      <c r="A7" s="4"/>
      <c r="B7" s="16"/>
      <c r="C7" s="30"/>
      <c r="D7" s="28" t="s">
        <v>29</v>
      </c>
      <c r="E7" s="16"/>
      <c r="F7" s="25"/>
      <c r="G7" s="38"/>
      <c r="H7" s="16"/>
      <c r="I7" s="32"/>
      <c r="J7" s="38"/>
      <c r="K7" s="45"/>
      <c r="L7" s="4"/>
    </row>
    <row r="8" spans="1:12" ht="20.100000000000001" customHeight="1" x14ac:dyDescent="0.25">
      <c r="A8" s="4"/>
      <c r="B8" s="17"/>
      <c r="C8" s="30"/>
      <c r="D8" s="28" t="s">
        <v>29</v>
      </c>
      <c r="E8" s="17"/>
      <c r="F8" s="25"/>
      <c r="G8" s="39"/>
      <c r="H8" s="17"/>
      <c r="I8" s="33"/>
      <c r="J8" s="39"/>
      <c r="K8" s="45"/>
      <c r="L8" s="4"/>
    </row>
    <row r="9" spans="1:12" ht="20.100000000000001" customHeight="1" x14ac:dyDescent="0.25">
      <c r="A9" s="4"/>
      <c r="B9" s="9">
        <v>2</v>
      </c>
      <c r="C9" s="30"/>
      <c r="D9" s="29">
        <v>1551.5</v>
      </c>
      <c r="E9" s="15">
        <v>2</v>
      </c>
      <c r="F9" s="15">
        <v>3</v>
      </c>
      <c r="G9" s="15">
        <v>50</v>
      </c>
      <c r="H9" s="41">
        <f>G9*(E9/F9)</f>
        <v>33.333333333333329</v>
      </c>
      <c r="I9" s="18">
        <v>750000</v>
      </c>
      <c r="J9" s="34">
        <f>(H9+H10+H11)*750000</f>
        <v>124999999.99999997</v>
      </c>
      <c r="K9" s="8"/>
      <c r="L9" s="4"/>
    </row>
    <row r="10" spans="1:12" ht="20.100000000000001" customHeight="1" x14ac:dyDescent="0.25">
      <c r="A10" s="4"/>
      <c r="B10" s="9">
        <v>3</v>
      </c>
      <c r="C10" s="30"/>
      <c r="D10" s="29">
        <v>1631.5</v>
      </c>
      <c r="E10" s="15">
        <v>4</v>
      </c>
      <c r="F10" s="15">
        <v>3</v>
      </c>
      <c r="G10" s="15">
        <v>50</v>
      </c>
      <c r="H10" s="41">
        <f t="shared" ref="H10:H11" si="0">G10*(E10/F10)</f>
        <v>66.666666666666657</v>
      </c>
      <c r="I10" s="18">
        <v>750000</v>
      </c>
      <c r="J10" s="35"/>
      <c r="K10" s="8"/>
      <c r="L10" s="4"/>
    </row>
    <row r="11" spans="1:12" ht="20.100000000000001" customHeight="1" x14ac:dyDescent="0.25">
      <c r="A11" s="4"/>
      <c r="B11" s="9">
        <v>4</v>
      </c>
      <c r="C11" s="30"/>
      <c r="D11" s="29">
        <v>1650</v>
      </c>
      <c r="E11" s="15">
        <v>4</v>
      </c>
      <c r="F11" s="15">
        <v>3</v>
      </c>
      <c r="G11" s="15">
        <v>50</v>
      </c>
      <c r="H11" s="41">
        <f t="shared" si="0"/>
        <v>66.666666666666657</v>
      </c>
      <c r="I11" s="18">
        <v>750000</v>
      </c>
      <c r="J11" s="36"/>
      <c r="K11" s="8"/>
      <c r="L11" s="4"/>
    </row>
    <row r="12" spans="1:12" ht="20.100000000000001" customHeight="1" x14ac:dyDescent="0.25">
      <c r="A12" s="4"/>
      <c r="B12" s="9">
        <v>5</v>
      </c>
      <c r="C12" s="2" t="s">
        <v>34</v>
      </c>
      <c r="D12" s="15">
        <v>550</v>
      </c>
      <c r="E12" s="15">
        <v>6</v>
      </c>
      <c r="F12" s="15">
        <v>10</v>
      </c>
      <c r="G12" s="15">
        <v>50</v>
      </c>
      <c r="H12" s="41">
        <f t="shared" ref="H12:H15" si="1">G12*(E12/F12)</f>
        <v>30</v>
      </c>
      <c r="I12" s="19">
        <v>400000</v>
      </c>
      <c r="J12" s="19">
        <f>H12*I12</f>
        <v>12000000</v>
      </c>
      <c r="K12" s="8"/>
      <c r="L12" s="4"/>
    </row>
    <row r="13" spans="1:12" ht="20.100000000000001" customHeight="1" x14ac:dyDescent="0.25">
      <c r="A13" s="4"/>
      <c r="B13" s="9">
        <v>6</v>
      </c>
      <c r="C13" s="2" t="s">
        <v>35</v>
      </c>
      <c r="D13" s="15">
        <v>190</v>
      </c>
      <c r="E13" s="15">
        <v>20</v>
      </c>
      <c r="F13" s="15">
        <v>30</v>
      </c>
      <c r="G13" s="15">
        <v>50</v>
      </c>
      <c r="H13" s="41">
        <f t="shared" si="1"/>
        <v>33.333333333333329</v>
      </c>
      <c r="I13" s="19">
        <v>200000</v>
      </c>
      <c r="J13" s="19">
        <f>H13*I13</f>
        <v>6666666.666666666</v>
      </c>
      <c r="K13" s="8"/>
      <c r="L13" s="4"/>
    </row>
    <row r="14" spans="1:12" ht="20.100000000000001" customHeight="1" x14ac:dyDescent="0.25">
      <c r="A14" s="4"/>
      <c r="B14" s="9">
        <v>7</v>
      </c>
      <c r="C14" s="2" t="s">
        <v>20</v>
      </c>
      <c r="D14" s="28" t="s">
        <v>30</v>
      </c>
      <c r="E14" s="15"/>
      <c r="G14" s="15">
        <v>50</v>
      </c>
      <c r="H14" s="15"/>
      <c r="I14" s="15"/>
      <c r="J14" s="15"/>
      <c r="K14" s="2" t="s">
        <v>19</v>
      </c>
      <c r="L14" s="4"/>
    </row>
    <row r="15" spans="1:12" ht="20.100000000000001" customHeight="1" x14ac:dyDescent="0.25">
      <c r="A15" s="4"/>
      <c r="B15" s="9">
        <v>8</v>
      </c>
      <c r="C15" s="2" t="s">
        <v>9</v>
      </c>
      <c r="D15" s="15" t="s">
        <v>18</v>
      </c>
      <c r="E15" s="15">
        <v>20</v>
      </c>
      <c r="F15" s="15">
        <v>3</v>
      </c>
      <c r="G15" s="15">
        <v>50</v>
      </c>
      <c r="H15" s="41">
        <f t="shared" si="1"/>
        <v>333.33333333333337</v>
      </c>
      <c r="I15" s="19">
        <v>1850000</v>
      </c>
      <c r="J15" s="19">
        <f>H15*I15</f>
        <v>616666666.66666675</v>
      </c>
      <c r="K15" s="8"/>
      <c r="L15" s="4"/>
    </row>
    <row r="16" spans="1:12" ht="20.100000000000001" customHeight="1" x14ac:dyDescent="0.25">
      <c r="A16" s="4"/>
      <c r="B16" s="9">
        <v>9</v>
      </c>
      <c r="C16" s="2" t="s">
        <v>5</v>
      </c>
      <c r="D16" s="15" t="s">
        <v>6</v>
      </c>
      <c r="E16" s="15">
        <v>4</v>
      </c>
      <c r="F16" s="15"/>
      <c r="G16" s="15">
        <v>50</v>
      </c>
      <c r="H16" s="15"/>
      <c r="I16" s="19">
        <v>100000</v>
      </c>
      <c r="J16" s="19">
        <f>G16*I16</f>
        <v>5000000</v>
      </c>
      <c r="K16" s="8"/>
      <c r="L16" s="4"/>
    </row>
    <row r="17" spans="1:12" ht="20.100000000000001" customHeight="1" x14ac:dyDescent="0.25">
      <c r="A17" s="4"/>
      <c r="B17" s="20"/>
      <c r="C17" s="21"/>
      <c r="D17" s="20"/>
      <c r="E17" s="20"/>
      <c r="F17" s="20"/>
      <c r="G17" s="20"/>
      <c r="H17" s="20"/>
      <c r="I17" s="2" t="s">
        <v>14</v>
      </c>
      <c r="J17" s="40">
        <f>SUM(J9:J16)</f>
        <v>765333333.33333337</v>
      </c>
      <c r="K17" s="4"/>
      <c r="L17" s="4"/>
    </row>
    <row r="18" spans="1:12" ht="20.100000000000001" customHeight="1" x14ac:dyDescent="0.25">
      <c r="A18" s="4"/>
      <c r="B18" s="20"/>
      <c r="C18" s="22"/>
      <c r="D18" s="23"/>
      <c r="E18" s="24"/>
      <c r="F18" s="22"/>
      <c r="G18" s="23"/>
      <c r="H18" s="23"/>
      <c r="I18" s="2" t="s">
        <v>13</v>
      </c>
      <c r="J18" s="40">
        <f>J17*30%</f>
        <v>229600000</v>
      </c>
      <c r="K18" s="10"/>
      <c r="L18" s="4"/>
    </row>
    <row r="19" spans="1:12" ht="20.100000000000001" customHeight="1" x14ac:dyDescent="0.25">
      <c r="A19" s="4"/>
      <c r="B19" s="20"/>
      <c r="C19" s="22"/>
      <c r="D19" s="23"/>
      <c r="E19" s="23"/>
      <c r="F19" s="22"/>
      <c r="G19" s="23"/>
      <c r="H19" s="23"/>
      <c r="I19" s="2" t="s">
        <v>15</v>
      </c>
      <c r="J19" s="40">
        <f>SUM(J17:J18)</f>
        <v>994933333.33333337</v>
      </c>
      <c r="K19" s="4"/>
      <c r="L19" s="4"/>
    </row>
    <row r="20" spans="1:12" ht="20.100000000000001" customHeight="1" x14ac:dyDescent="0.25">
      <c r="A20" s="4"/>
      <c r="B20" s="5"/>
      <c r="C20" s="4"/>
      <c r="D20" s="6"/>
      <c r="E20" s="6"/>
      <c r="F20" s="4"/>
      <c r="G20" s="6"/>
      <c r="H20" s="6"/>
      <c r="I20" s="4"/>
      <c r="J20" s="4"/>
      <c r="K20" s="4"/>
      <c r="L20" s="4"/>
    </row>
    <row r="21" spans="1:12" ht="20.100000000000001" customHeight="1" x14ac:dyDescent="0.25">
      <c r="A21" s="4"/>
      <c r="B21" s="7" t="s">
        <v>12</v>
      </c>
      <c r="C21" s="7"/>
      <c r="D21" s="6"/>
      <c r="E21" s="6"/>
      <c r="F21" s="4"/>
      <c r="G21" s="6"/>
      <c r="H21" s="6"/>
      <c r="I21" s="4"/>
      <c r="J21" s="4"/>
      <c r="K21" s="4"/>
      <c r="L21" s="4"/>
    </row>
    <row r="22" spans="1:12" ht="20.100000000000001" customHeight="1" x14ac:dyDescent="0.25">
      <c r="A22" s="4"/>
      <c r="B22" s="13" t="s">
        <v>0</v>
      </c>
      <c r="C22" s="13" t="s">
        <v>3</v>
      </c>
      <c r="D22" s="13" t="s">
        <v>2</v>
      </c>
      <c r="E22" s="13" t="s">
        <v>25</v>
      </c>
      <c r="F22" s="13" t="s">
        <v>26</v>
      </c>
      <c r="G22" s="13" t="s">
        <v>7</v>
      </c>
      <c r="H22" s="13" t="s">
        <v>27</v>
      </c>
      <c r="I22" s="13" t="s">
        <v>33</v>
      </c>
      <c r="J22" s="13" t="s">
        <v>8</v>
      </c>
      <c r="K22" s="13" t="s">
        <v>21</v>
      </c>
      <c r="L22" s="4"/>
    </row>
    <row r="23" spans="1:12" ht="20.100000000000001" customHeight="1" x14ac:dyDescent="0.25">
      <c r="A23" s="4"/>
      <c r="B23" s="14">
        <v>1</v>
      </c>
      <c r="C23" s="30" t="s">
        <v>4</v>
      </c>
      <c r="D23" s="28" t="s">
        <v>29</v>
      </c>
      <c r="E23" s="14"/>
      <c r="F23" s="42"/>
      <c r="G23" s="43">
        <v>50</v>
      </c>
      <c r="H23" s="37"/>
      <c r="I23" s="31"/>
      <c r="J23" s="37"/>
      <c r="K23" s="45" t="s">
        <v>16</v>
      </c>
      <c r="L23" s="4"/>
    </row>
    <row r="24" spans="1:12" ht="20.100000000000001" customHeight="1" x14ac:dyDescent="0.25">
      <c r="A24" s="4"/>
      <c r="B24" s="16"/>
      <c r="C24" s="30"/>
      <c r="D24" s="28" t="s">
        <v>29</v>
      </c>
      <c r="E24" s="16"/>
      <c r="F24" s="42"/>
      <c r="G24" s="43"/>
      <c r="H24" s="38"/>
      <c r="I24" s="32"/>
      <c r="J24" s="38"/>
      <c r="K24" s="45"/>
      <c r="L24" s="4"/>
    </row>
    <row r="25" spans="1:12" ht="20.100000000000001" customHeight="1" x14ac:dyDescent="0.25">
      <c r="A25" s="4"/>
      <c r="B25" s="17"/>
      <c r="C25" s="30"/>
      <c r="D25" s="28" t="s">
        <v>29</v>
      </c>
      <c r="E25" s="17"/>
      <c r="F25" s="42"/>
      <c r="G25" s="43"/>
      <c r="H25" s="39"/>
      <c r="I25" s="33"/>
      <c r="J25" s="39"/>
      <c r="K25" s="45"/>
      <c r="L25" s="4"/>
    </row>
    <row r="26" spans="1:12" ht="20.100000000000001" customHeight="1" x14ac:dyDescent="0.25">
      <c r="A26" s="4"/>
      <c r="B26" s="9">
        <v>2</v>
      </c>
      <c r="C26" s="30"/>
      <c r="D26" s="29">
        <v>1551.5</v>
      </c>
      <c r="E26" s="15">
        <v>2</v>
      </c>
      <c r="F26" s="15">
        <v>3</v>
      </c>
      <c r="G26" s="15">
        <v>50</v>
      </c>
      <c r="H26" s="41">
        <f>G26*(E26/F26)</f>
        <v>33.333333333333329</v>
      </c>
      <c r="I26" s="18">
        <v>750000</v>
      </c>
      <c r="J26" s="34">
        <f>SUM(H26+H27+H28)*750000</f>
        <v>124999999.99999997</v>
      </c>
      <c r="K26" s="8"/>
      <c r="L26" s="4"/>
    </row>
    <row r="27" spans="1:12" ht="20.100000000000001" customHeight="1" x14ac:dyDescent="0.25">
      <c r="A27" s="4"/>
      <c r="B27" s="9">
        <v>3</v>
      </c>
      <c r="C27" s="30"/>
      <c r="D27" s="29">
        <v>1631.5</v>
      </c>
      <c r="E27" s="15">
        <v>4</v>
      </c>
      <c r="F27" s="15">
        <v>3</v>
      </c>
      <c r="G27" s="15">
        <v>50</v>
      </c>
      <c r="H27" s="41">
        <f t="shared" ref="H27:H28" si="2">G27*(E27/F27)</f>
        <v>66.666666666666657</v>
      </c>
      <c r="I27" s="18">
        <v>750000</v>
      </c>
      <c r="J27" s="35"/>
      <c r="K27" s="8"/>
      <c r="L27" s="4"/>
    </row>
    <row r="28" spans="1:12" ht="20.100000000000001" customHeight="1" x14ac:dyDescent="0.25">
      <c r="A28" s="4"/>
      <c r="B28" s="9">
        <v>4</v>
      </c>
      <c r="C28" s="30"/>
      <c r="D28" s="29">
        <v>1650</v>
      </c>
      <c r="E28" s="15">
        <v>4</v>
      </c>
      <c r="F28" s="15">
        <v>3</v>
      </c>
      <c r="G28" s="15">
        <v>50</v>
      </c>
      <c r="H28" s="41">
        <f t="shared" si="2"/>
        <v>66.666666666666657</v>
      </c>
      <c r="I28" s="18">
        <v>750000</v>
      </c>
      <c r="J28" s="36"/>
      <c r="K28" s="8"/>
      <c r="L28" s="4"/>
    </row>
    <row r="29" spans="1:12" ht="20.100000000000001" customHeight="1" x14ac:dyDescent="0.25">
      <c r="A29" s="4"/>
      <c r="B29" s="9">
        <v>5</v>
      </c>
      <c r="C29" s="2" t="s">
        <v>34</v>
      </c>
      <c r="D29" s="15">
        <v>550</v>
      </c>
      <c r="E29" s="15">
        <v>6</v>
      </c>
      <c r="F29" s="15">
        <v>10</v>
      </c>
      <c r="G29" s="15">
        <v>50</v>
      </c>
      <c r="H29" s="41">
        <f t="shared" ref="H29:H30" si="3">G29*(E29/F29)</f>
        <v>30</v>
      </c>
      <c r="I29" s="19">
        <v>400000</v>
      </c>
      <c r="J29" s="19">
        <f>H29*I29</f>
        <v>12000000</v>
      </c>
      <c r="K29" s="8"/>
      <c r="L29" s="4"/>
    </row>
    <row r="30" spans="1:12" ht="20.100000000000001" customHeight="1" x14ac:dyDescent="0.25">
      <c r="A30" s="4"/>
      <c r="B30" s="9">
        <v>6</v>
      </c>
      <c r="C30" s="2" t="s">
        <v>35</v>
      </c>
      <c r="D30" s="15">
        <v>190</v>
      </c>
      <c r="E30" s="15">
        <v>20</v>
      </c>
      <c r="F30" s="15">
        <v>30</v>
      </c>
      <c r="G30" s="15">
        <v>50</v>
      </c>
      <c r="H30" s="41">
        <f t="shared" si="3"/>
        <v>33.333333333333329</v>
      </c>
      <c r="I30" s="19">
        <v>200000</v>
      </c>
      <c r="J30" s="19">
        <f>H30*I30</f>
        <v>6666666.666666666</v>
      </c>
      <c r="K30" s="8"/>
      <c r="L30" s="4"/>
    </row>
    <row r="31" spans="1:12" ht="20.100000000000001" customHeight="1" x14ac:dyDescent="0.25">
      <c r="A31" s="4"/>
      <c r="B31" s="9">
        <v>7</v>
      </c>
      <c r="C31" s="2" t="s">
        <v>20</v>
      </c>
      <c r="D31" s="28" t="s">
        <v>30</v>
      </c>
      <c r="E31" s="15"/>
      <c r="F31" s="15"/>
      <c r="G31" s="15">
        <v>50</v>
      </c>
      <c r="H31" s="15"/>
      <c r="I31" s="15"/>
      <c r="J31" s="15"/>
      <c r="K31" s="15" t="s">
        <v>19</v>
      </c>
      <c r="L31" s="4"/>
    </row>
    <row r="32" spans="1:12" ht="20.100000000000001" customHeight="1" x14ac:dyDescent="0.25">
      <c r="A32" s="4"/>
      <c r="B32" s="9">
        <v>8</v>
      </c>
      <c r="C32" s="2" t="s">
        <v>10</v>
      </c>
      <c r="D32" s="15" t="s">
        <v>17</v>
      </c>
      <c r="E32" s="15">
        <v>20</v>
      </c>
      <c r="F32" s="15">
        <v>3</v>
      </c>
      <c r="G32" s="15">
        <v>50</v>
      </c>
      <c r="H32" s="41">
        <f t="shared" ref="H32" si="4">G32*(E32/F32)</f>
        <v>333.33333333333337</v>
      </c>
      <c r="I32" s="19">
        <v>2250000</v>
      </c>
      <c r="J32" s="19">
        <f>H32*I32</f>
        <v>750000000.00000012</v>
      </c>
      <c r="K32" s="8"/>
      <c r="L32" s="4"/>
    </row>
    <row r="33" spans="1:12" ht="20.100000000000001" customHeight="1" x14ac:dyDescent="0.25">
      <c r="A33" s="4"/>
      <c r="B33" s="9">
        <v>9</v>
      </c>
      <c r="C33" s="2" t="s">
        <v>5</v>
      </c>
      <c r="D33" s="15" t="s">
        <v>6</v>
      </c>
      <c r="E33" s="15">
        <v>4</v>
      </c>
      <c r="F33" s="15"/>
      <c r="G33" s="15">
        <v>50</v>
      </c>
      <c r="H33" s="44"/>
      <c r="I33" s="19">
        <v>100000</v>
      </c>
      <c r="J33" s="19">
        <f>G33*I33</f>
        <v>5000000</v>
      </c>
      <c r="K33" s="8"/>
      <c r="L33" s="4"/>
    </row>
    <row r="34" spans="1:12" ht="20.100000000000001" customHeight="1" x14ac:dyDescent="0.25">
      <c r="A34" s="4"/>
      <c r="B34" s="20"/>
      <c r="C34" s="21"/>
      <c r="D34" s="20"/>
      <c r="E34" s="20"/>
      <c r="F34" s="20"/>
      <c r="G34" s="20"/>
      <c r="H34" s="20"/>
      <c r="I34" s="2" t="s">
        <v>14</v>
      </c>
      <c r="J34" s="40">
        <f>SUM(J29:J33)</f>
        <v>773666666.66666675</v>
      </c>
      <c r="K34" s="4"/>
      <c r="L34" s="4"/>
    </row>
    <row r="35" spans="1:12" ht="20.100000000000001" customHeight="1" x14ac:dyDescent="0.25">
      <c r="A35" s="4"/>
      <c r="B35" s="20"/>
      <c r="C35" s="22"/>
      <c r="D35" s="23"/>
      <c r="E35" s="24"/>
      <c r="F35" s="22"/>
      <c r="G35" s="23"/>
      <c r="H35" s="23"/>
      <c r="I35" s="2" t="s">
        <v>13</v>
      </c>
      <c r="J35" s="40">
        <f>J34*30%</f>
        <v>232100000.00000003</v>
      </c>
      <c r="K35" s="4"/>
      <c r="L35" s="4"/>
    </row>
    <row r="36" spans="1:12" ht="20.100000000000001" customHeight="1" x14ac:dyDescent="0.25">
      <c r="A36" s="4"/>
      <c r="B36" s="20"/>
      <c r="C36" s="22"/>
      <c r="D36" s="23"/>
      <c r="E36" s="23"/>
      <c r="F36" s="22"/>
      <c r="G36" s="23"/>
      <c r="H36" s="23"/>
      <c r="I36" s="2" t="s">
        <v>15</v>
      </c>
      <c r="J36" s="40">
        <f>SUM(J34:J35)</f>
        <v>1005766666.6666667</v>
      </c>
      <c r="K36" s="4"/>
      <c r="L36" s="4"/>
    </row>
    <row r="37" spans="1:12" ht="20.100000000000001" customHeight="1" x14ac:dyDescent="0.25">
      <c r="A37" s="4"/>
      <c r="B37" s="5"/>
      <c r="C37" s="4"/>
      <c r="D37" s="6"/>
      <c r="E37" s="6"/>
      <c r="F37" s="4"/>
      <c r="G37" s="6"/>
      <c r="H37" s="6"/>
      <c r="I37" s="4"/>
      <c r="J37" s="4"/>
      <c r="K37" s="4"/>
      <c r="L37" s="4"/>
    </row>
    <row r="38" spans="1:12" ht="20.100000000000001" customHeight="1" x14ac:dyDescent="0.25">
      <c r="A38" s="4"/>
      <c r="B38" s="46" t="s">
        <v>22</v>
      </c>
      <c r="C38" s="47" t="s">
        <v>24</v>
      </c>
      <c r="D38" s="47"/>
      <c r="E38" s="47"/>
      <c r="F38" s="4"/>
      <c r="G38" s="6"/>
      <c r="H38" s="6"/>
      <c r="I38" s="4"/>
      <c r="J38" s="4"/>
      <c r="K38" s="4"/>
      <c r="L38" s="4"/>
    </row>
    <row r="39" spans="1:12" ht="20.100000000000001" customHeight="1" x14ac:dyDescent="0.25">
      <c r="A39" s="4"/>
      <c r="B39" s="46" t="s">
        <v>23</v>
      </c>
      <c r="C39" s="47" t="s">
        <v>28</v>
      </c>
      <c r="D39" s="47"/>
      <c r="E39" s="47"/>
      <c r="F39" s="4"/>
      <c r="G39" s="6"/>
      <c r="H39" s="6"/>
      <c r="I39" s="4"/>
      <c r="J39" s="4"/>
      <c r="K39" s="4"/>
      <c r="L39" s="4"/>
    </row>
    <row r="40" spans="1:12" ht="20.100000000000001" customHeight="1" x14ac:dyDescent="0.25">
      <c r="A40" s="4"/>
      <c r="B40" s="46" t="s">
        <v>31</v>
      </c>
      <c r="C40" s="47" t="s">
        <v>32</v>
      </c>
      <c r="D40" s="47"/>
      <c r="E40" s="47"/>
      <c r="F40" s="4"/>
      <c r="G40" s="6"/>
      <c r="H40" s="6"/>
      <c r="I40" s="4"/>
      <c r="J40" s="4"/>
      <c r="K40" s="4"/>
      <c r="L40" s="4"/>
    </row>
    <row r="41" spans="1:12" ht="20.100000000000001" customHeight="1" x14ac:dyDescent="0.25"/>
    <row r="42" spans="1:12" ht="20.100000000000001" customHeight="1" x14ac:dyDescent="0.25"/>
    <row r="43" spans="1:12" ht="20.100000000000001" customHeight="1" x14ac:dyDescent="0.25"/>
    <row r="44" spans="1:12" ht="20.100000000000001" customHeight="1" x14ac:dyDescent="0.25"/>
    <row r="45" spans="1:12" ht="20.100000000000001" customHeight="1" x14ac:dyDescent="0.25"/>
    <row r="46" spans="1:12" ht="20.100000000000001" customHeight="1" x14ac:dyDescent="0.25"/>
    <row r="47" spans="1:12" ht="20.100000000000001" customHeight="1" x14ac:dyDescent="0.25"/>
    <row r="48" spans="1:12" ht="20.100000000000001" customHeight="1" x14ac:dyDescent="0.25"/>
  </sheetData>
  <mergeCells count="26">
    <mergeCell ref="C40:E40"/>
    <mergeCell ref="C38:E38"/>
    <mergeCell ref="C39:E39"/>
    <mergeCell ref="K6:K8"/>
    <mergeCell ref="K23:K25"/>
    <mergeCell ref="H6:H8"/>
    <mergeCell ref="I6:I8"/>
    <mergeCell ref="J6:J8"/>
    <mergeCell ref="H23:H25"/>
    <mergeCell ref="I23:I25"/>
    <mergeCell ref="J23:J25"/>
    <mergeCell ref="C6:C11"/>
    <mergeCell ref="F6:F8"/>
    <mergeCell ref="G6:G8"/>
    <mergeCell ref="B6:B8"/>
    <mergeCell ref="B4:C4"/>
    <mergeCell ref="J9:J11"/>
    <mergeCell ref="E6:E8"/>
    <mergeCell ref="B2:K2"/>
    <mergeCell ref="B23:B25"/>
    <mergeCell ref="C23:C28"/>
    <mergeCell ref="F23:F25"/>
    <mergeCell ref="G23:G25"/>
    <mergeCell ref="B21:C21"/>
    <mergeCell ref="J26:J28"/>
    <mergeCell ref="E23:E25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Hirzan Arrifqi</dc:creator>
  <cp:lastModifiedBy>Muhammad Hirzan Arrifqi</cp:lastModifiedBy>
  <cp:lastPrinted>2022-03-16T04:47:54Z</cp:lastPrinted>
  <dcterms:created xsi:type="dcterms:W3CDTF">2022-03-15T07:38:59Z</dcterms:created>
  <dcterms:modified xsi:type="dcterms:W3CDTF">2022-03-17T02:32:08Z</dcterms:modified>
</cp:coreProperties>
</file>