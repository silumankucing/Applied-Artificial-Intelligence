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Science\New folder\"/>
    </mc:Choice>
  </mc:AlternateContent>
  <bookViews>
    <workbookView xWindow="0" yWindow="0" windowWidth="20490" windowHeight="775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C243" i="1" l="1"/>
  <c r="C239" i="1"/>
  <c r="C235" i="1"/>
  <c r="C231" i="1"/>
  <c r="C227" i="1"/>
  <c r="C223" i="1"/>
  <c r="C219" i="1"/>
  <c r="C215" i="1"/>
  <c r="C211" i="1"/>
  <c r="C207" i="1"/>
  <c r="C203" i="1"/>
  <c r="C199" i="1"/>
  <c r="C195" i="1"/>
  <c r="C191" i="1"/>
  <c r="C187" i="1"/>
  <c r="C183" i="1"/>
  <c r="C179" i="1"/>
  <c r="C175" i="1"/>
  <c r="C171" i="1"/>
  <c r="C167" i="1"/>
  <c r="C163" i="1"/>
  <c r="C159" i="1"/>
  <c r="C155" i="1"/>
  <c r="C151" i="1"/>
  <c r="C147" i="1"/>
  <c r="C143" i="1"/>
  <c r="C139" i="1"/>
  <c r="C135" i="1"/>
  <c r="C131" i="1"/>
  <c r="C127" i="1"/>
  <c r="C123" i="1"/>
  <c r="C119" i="1"/>
  <c r="B242" i="1"/>
  <c r="B238" i="1"/>
  <c r="B234" i="1"/>
  <c r="B230" i="1"/>
  <c r="B226" i="1"/>
  <c r="B222" i="1"/>
  <c r="B218" i="1"/>
  <c r="B214" i="1"/>
  <c r="B210" i="1"/>
  <c r="B206" i="1"/>
  <c r="B202" i="1"/>
  <c r="A242" i="1"/>
  <c r="A238" i="1"/>
  <c r="A234" i="1"/>
  <c r="A230" i="1"/>
  <c r="A226" i="1"/>
  <c r="A222" i="1"/>
  <c r="A218" i="1"/>
  <c r="A214" i="1"/>
  <c r="A210" i="1"/>
  <c r="A206" i="1"/>
  <c r="A202" i="1"/>
  <c r="A198" i="1"/>
  <c r="A194" i="1"/>
  <c r="A190" i="1"/>
  <c r="A186" i="1"/>
  <c r="A182" i="1"/>
  <c r="A178" i="1"/>
  <c r="A174" i="1"/>
  <c r="A170" i="1"/>
  <c r="A166" i="1"/>
  <c r="A162" i="1"/>
  <c r="A158" i="1"/>
  <c r="A154" i="1"/>
  <c r="A150" i="1"/>
  <c r="A146" i="1"/>
  <c r="A142" i="1"/>
  <c r="A138" i="1"/>
  <c r="D238" i="1"/>
  <c r="D222" i="1"/>
  <c r="D206" i="1"/>
  <c r="B195" i="1"/>
  <c r="B187" i="1"/>
  <c r="B179" i="1"/>
  <c r="B171" i="1"/>
  <c r="B163" i="1"/>
  <c r="B155" i="1"/>
  <c r="B147" i="1"/>
  <c r="B139" i="1"/>
  <c r="A133" i="1"/>
  <c r="D127" i="1"/>
  <c r="B122" i="1"/>
  <c r="A117" i="1"/>
  <c r="A113" i="1"/>
  <c r="A109" i="1"/>
  <c r="A105" i="1"/>
  <c r="A101" i="1"/>
  <c r="A97" i="1"/>
  <c r="A93" i="1"/>
  <c r="A89" i="1"/>
  <c r="A85" i="1"/>
  <c r="A81" i="1"/>
  <c r="A77" i="1"/>
  <c r="A73" i="1"/>
  <c r="A69" i="1"/>
  <c r="A65" i="1"/>
  <c r="A61" i="1"/>
  <c r="A57" i="1"/>
  <c r="A53" i="1"/>
  <c r="A49" i="1"/>
  <c r="A45" i="1"/>
  <c r="A41" i="1"/>
  <c r="A37" i="1"/>
  <c r="A33" i="1"/>
  <c r="A29" i="1"/>
  <c r="A25" i="1"/>
  <c r="A21" i="1"/>
  <c r="A17" i="1"/>
  <c r="A13" i="1"/>
  <c r="A9" i="1"/>
  <c r="A5" i="1"/>
  <c r="D241" i="1"/>
  <c r="D225" i="1"/>
  <c r="D209" i="1"/>
  <c r="D196" i="1"/>
  <c r="D188" i="1"/>
  <c r="D180" i="1"/>
  <c r="C242" i="1"/>
  <c r="C238" i="1"/>
  <c r="C234" i="1"/>
  <c r="C230" i="1"/>
  <c r="C226" i="1"/>
  <c r="C222" i="1"/>
  <c r="C218" i="1"/>
  <c r="C214" i="1"/>
  <c r="C210" i="1"/>
  <c r="C206" i="1"/>
  <c r="C202" i="1"/>
  <c r="C198" i="1"/>
  <c r="C194" i="1"/>
  <c r="C190" i="1"/>
  <c r="C186" i="1"/>
  <c r="C182" i="1"/>
  <c r="C178" i="1"/>
  <c r="C174" i="1"/>
  <c r="C170" i="1"/>
  <c r="C166" i="1"/>
  <c r="C162" i="1"/>
  <c r="C158" i="1"/>
  <c r="C154" i="1"/>
  <c r="C150" i="1"/>
  <c r="C146" i="1"/>
  <c r="C142" i="1"/>
  <c r="C138" i="1"/>
  <c r="C134" i="1"/>
  <c r="C130" i="1"/>
  <c r="C126" i="1"/>
  <c r="C122" i="1"/>
  <c r="C118" i="1"/>
  <c r="B241" i="1"/>
  <c r="B237" i="1"/>
  <c r="B233" i="1"/>
  <c r="B229" i="1"/>
  <c r="B225" i="1"/>
  <c r="B221" i="1"/>
  <c r="B217" i="1"/>
  <c r="B213" i="1"/>
  <c r="B209" i="1"/>
  <c r="B205" i="1"/>
  <c r="B201" i="1"/>
  <c r="A241" i="1"/>
  <c r="A237" i="1"/>
  <c r="A233" i="1"/>
  <c r="A229" i="1"/>
  <c r="A225" i="1"/>
  <c r="A221" i="1"/>
  <c r="A217" i="1"/>
  <c r="A213" i="1"/>
  <c r="A209" i="1"/>
  <c r="A205" i="1"/>
  <c r="A201" i="1"/>
  <c r="A197" i="1"/>
  <c r="A193" i="1"/>
  <c r="A189" i="1"/>
  <c r="A185" i="1"/>
  <c r="A181" i="1"/>
  <c r="A177" i="1"/>
  <c r="A173" i="1"/>
  <c r="A169" i="1"/>
  <c r="A165" i="1"/>
  <c r="A161" i="1"/>
  <c r="A157" i="1"/>
  <c r="A153" i="1"/>
  <c r="A149" i="1"/>
  <c r="A145" i="1"/>
  <c r="A141" i="1"/>
  <c r="A137" i="1"/>
  <c r="D234" i="1"/>
  <c r="D218" i="1"/>
  <c r="D202" i="1"/>
  <c r="B193" i="1"/>
  <c r="B185" i="1"/>
  <c r="B177" i="1"/>
  <c r="B169" i="1"/>
  <c r="B161" i="1"/>
  <c r="B153" i="1"/>
  <c r="B145" i="1"/>
  <c r="B137" i="1"/>
  <c r="D131" i="1"/>
  <c r="B126" i="1"/>
  <c r="A121" i="1"/>
  <c r="A116" i="1"/>
  <c r="A112" i="1"/>
  <c r="A108" i="1"/>
  <c r="A104" i="1"/>
  <c r="A100" i="1"/>
  <c r="A96" i="1"/>
  <c r="A92" i="1"/>
  <c r="A88" i="1"/>
  <c r="A84" i="1"/>
  <c r="A80" i="1"/>
  <c r="A76" i="1"/>
  <c r="A72" i="1"/>
  <c r="A68" i="1"/>
  <c r="A64" i="1"/>
  <c r="A60" i="1"/>
  <c r="A56" i="1"/>
  <c r="A52" i="1"/>
  <c r="A48" i="1"/>
  <c r="A44" i="1"/>
  <c r="A40" i="1"/>
  <c r="A36" i="1"/>
  <c r="A32" i="1"/>
  <c r="A28" i="1"/>
  <c r="A24" i="1"/>
  <c r="A20" i="1"/>
  <c r="A16" i="1"/>
  <c r="A12" i="1"/>
  <c r="A8" i="1"/>
  <c r="A4" i="1"/>
  <c r="D237" i="1"/>
  <c r="D221" i="1"/>
  <c r="D205" i="1"/>
  <c r="D194" i="1"/>
  <c r="D186" i="1"/>
  <c r="D178" i="1"/>
  <c r="D170" i="1"/>
  <c r="D162" i="1"/>
  <c r="D154" i="1"/>
  <c r="D146" i="1"/>
  <c r="D138" i="1"/>
  <c r="D132" i="1"/>
  <c r="B127" i="1"/>
  <c r="A122" i="1"/>
  <c r="C241" i="1"/>
  <c r="C240" i="1"/>
  <c r="C236" i="1"/>
  <c r="C232" i="1"/>
  <c r="C228" i="1"/>
  <c r="C224" i="1"/>
  <c r="C220" i="1"/>
  <c r="C216" i="1"/>
  <c r="C212" i="1"/>
  <c r="C208" i="1"/>
  <c r="C204" i="1"/>
  <c r="C200" i="1"/>
  <c r="C196" i="1"/>
  <c r="C192" i="1"/>
  <c r="C188" i="1"/>
  <c r="C184" i="1"/>
  <c r="C180" i="1"/>
  <c r="C176" i="1"/>
  <c r="C172" i="1"/>
  <c r="C168" i="1"/>
  <c r="C164" i="1"/>
  <c r="C160" i="1"/>
  <c r="C156" i="1"/>
  <c r="C152" i="1"/>
  <c r="C148" i="1"/>
  <c r="C144" i="1"/>
  <c r="C140" i="1"/>
  <c r="C136" i="1"/>
  <c r="C132" i="1"/>
  <c r="C128" i="1"/>
  <c r="C124" i="1"/>
  <c r="C120" i="1"/>
  <c r="B243" i="1"/>
  <c r="B239" i="1"/>
  <c r="B235" i="1"/>
  <c r="B231" i="1"/>
  <c r="B227" i="1"/>
  <c r="B223" i="1"/>
  <c r="B219" i="1"/>
  <c r="B215" i="1"/>
  <c r="B211" i="1"/>
  <c r="B207" i="1"/>
  <c r="B203" i="1"/>
  <c r="A243" i="1"/>
  <c r="A239" i="1"/>
  <c r="A235" i="1"/>
  <c r="A231" i="1"/>
  <c r="A227" i="1"/>
  <c r="A223" i="1"/>
  <c r="A219" i="1"/>
  <c r="A215" i="1"/>
  <c r="A211" i="1"/>
  <c r="A207" i="1"/>
  <c r="A203" i="1"/>
  <c r="A199" i="1"/>
  <c r="A195" i="1"/>
  <c r="A191" i="1"/>
  <c r="A187" i="1"/>
  <c r="A183" i="1"/>
  <c r="A179" i="1"/>
  <c r="A175" i="1"/>
  <c r="A171" i="1"/>
  <c r="A167" i="1"/>
  <c r="A163" i="1"/>
  <c r="A159" i="1"/>
  <c r="A155" i="1"/>
  <c r="A151" i="1"/>
  <c r="A147" i="1"/>
  <c r="A143" i="1"/>
  <c r="A139" i="1"/>
  <c r="D242" i="1"/>
  <c r="D226" i="1"/>
  <c r="D210" i="1"/>
  <c r="B197" i="1"/>
  <c r="B189" i="1"/>
  <c r="B181" i="1"/>
  <c r="B173" i="1"/>
  <c r="B165" i="1"/>
  <c r="B157" i="1"/>
  <c r="B149" i="1"/>
  <c r="B141" i="1"/>
  <c r="B134" i="1"/>
  <c r="A129" i="1"/>
  <c r="D123" i="1"/>
  <c r="B118" i="1"/>
  <c r="A114" i="1"/>
  <c r="A110" i="1"/>
  <c r="A106" i="1"/>
  <c r="A102" i="1"/>
  <c r="A98" i="1"/>
  <c r="A94" i="1"/>
  <c r="A90" i="1"/>
  <c r="A86" i="1"/>
  <c r="A82" i="1"/>
  <c r="A78" i="1"/>
  <c r="A74" i="1"/>
  <c r="A70" i="1"/>
  <c r="A66" i="1"/>
  <c r="A62" i="1"/>
  <c r="A58" i="1"/>
  <c r="A54" i="1"/>
  <c r="A50" i="1"/>
  <c r="A46" i="1"/>
  <c r="A42" i="1"/>
  <c r="A38" i="1"/>
  <c r="A34" i="1"/>
  <c r="A30" i="1"/>
  <c r="A26" i="1"/>
  <c r="A22" i="1"/>
  <c r="C237" i="1"/>
  <c r="C221" i="1"/>
  <c r="C205" i="1"/>
  <c r="C189" i="1"/>
  <c r="C173" i="1"/>
  <c r="C157" i="1"/>
  <c r="C141" i="1"/>
  <c r="C125" i="1"/>
  <c r="B236" i="1"/>
  <c r="B220" i="1"/>
  <c r="B204" i="1"/>
  <c r="A232" i="1"/>
  <c r="A216" i="1"/>
  <c r="A200" i="1"/>
  <c r="A184" i="1"/>
  <c r="A168" i="1"/>
  <c r="A152" i="1"/>
  <c r="D243" i="1"/>
  <c r="B191" i="1"/>
  <c r="B159" i="1"/>
  <c r="B130" i="1"/>
  <c r="A111" i="1"/>
  <c r="A95" i="1"/>
  <c r="A79" i="1"/>
  <c r="A63" i="1"/>
  <c r="A47" i="1"/>
  <c r="A31" i="1"/>
  <c r="A18" i="1"/>
  <c r="A10" i="1"/>
  <c r="A2" i="1"/>
  <c r="D213" i="1"/>
  <c r="D190" i="1"/>
  <c r="D174" i="1"/>
  <c r="D164" i="1"/>
  <c r="D152" i="1"/>
  <c r="D142" i="1"/>
  <c r="A134" i="1"/>
  <c r="A126" i="1"/>
  <c r="B119" i="1"/>
  <c r="D114" i="1"/>
  <c r="D110" i="1"/>
  <c r="D106" i="1"/>
  <c r="D102" i="1"/>
  <c r="D98" i="1"/>
  <c r="D94" i="1"/>
  <c r="D232" i="1"/>
  <c r="D200" i="1"/>
  <c r="B184" i="1"/>
  <c r="B168" i="1"/>
  <c r="B152" i="1"/>
  <c r="B136" i="1"/>
  <c r="D125" i="1"/>
  <c r="C115" i="1"/>
  <c r="C107" i="1"/>
  <c r="C99" i="1"/>
  <c r="D91" i="1"/>
  <c r="C86" i="1"/>
  <c r="B81" i="1"/>
  <c r="D75" i="1"/>
  <c r="C70" i="1"/>
  <c r="B65" i="1"/>
  <c r="D59" i="1"/>
  <c r="C54" i="1"/>
  <c r="B49" i="1"/>
  <c r="D43" i="1"/>
  <c r="C38" i="1"/>
  <c r="B33" i="1"/>
  <c r="D27" i="1"/>
  <c r="C22" i="1"/>
  <c r="B17" i="1"/>
  <c r="D11" i="1"/>
  <c r="C6" i="1"/>
  <c r="B74" i="1"/>
  <c r="C59" i="1"/>
  <c r="B50" i="1"/>
  <c r="C43" i="1"/>
  <c r="C35" i="1"/>
  <c r="D223" i="1"/>
  <c r="D195" i="1"/>
  <c r="D179" i="1"/>
  <c r="D163" i="1"/>
  <c r="D147" i="1"/>
  <c r="B133" i="1"/>
  <c r="D122" i="1"/>
  <c r="B113" i="1"/>
  <c r="B105" i="1"/>
  <c r="B97" i="1"/>
  <c r="B90" i="1"/>
  <c r="D84" i="1"/>
  <c r="C79" i="1"/>
  <c r="D72" i="1"/>
  <c r="B66" i="1"/>
  <c r="B54" i="1"/>
  <c r="D236" i="1"/>
  <c r="B186" i="1"/>
  <c r="B154" i="1"/>
  <c r="A127" i="1"/>
  <c r="C108" i="1"/>
  <c r="C92" i="1"/>
  <c r="D81" i="1"/>
  <c r="B71" i="1"/>
  <c r="C60" i="1"/>
  <c r="D49" i="1"/>
  <c r="B39" i="1"/>
  <c r="D30" i="1"/>
  <c r="C23" i="1"/>
  <c r="C16" i="1"/>
  <c r="C9" i="1"/>
  <c r="B2" i="1"/>
  <c r="B23" i="1"/>
  <c r="B14" i="1"/>
  <c r="C5" i="1"/>
  <c r="C233" i="1"/>
  <c r="C217" i="1"/>
  <c r="C201" i="1"/>
  <c r="C185" i="1"/>
  <c r="C169" i="1"/>
  <c r="C153" i="1"/>
  <c r="C137" i="1"/>
  <c r="C121" i="1"/>
  <c r="B232" i="1"/>
  <c r="B216" i="1"/>
  <c r="B200" i="1"/>
  <c r="A228" i="1"/>
  <c r="A212" i="1"/>
  <c r="A196" i="1"/>
  <c r="A180" i="1"/>
  <c r="A164" i="1"/>
  <c r="A148" i="1"/>
  <c r="D230" i="1"/>
  <c r="B183" i="1"/>
  <c r="B151" i="1"/>
  <c r="A125" i="1"/>
  <c r="A107" i="1"/>
  <c r="A91" i="1"/>
  <c r="A75" i="1"/>
  <c r="A59" i="1"/>
  <c r="A43" i="1"/>
  <c r="A27" i="1"/>
  <c r="A15" i="1"/>
  <c r="A7" i="1"/>
  <c r="D233" i="1"/>
  <c r="D201" i="1"/>
  <c r="D184" i="1"/>
  <c r="D172" i="1"/>
  <c r="D160" i="1"/>
  <c r="D150" i="1"/>
  <c r="D140" i="1"/>
  <c r="B131" i="1"/>
  <c r="D124" i="1"/>
  <c r="A118" i="1"/>
  <c r="D113" i="1"/>
  <c r="D109" i="1"/>
  <c r="D105" i="1"/>
  <c r="D101" i="1"/>
  <c r="D97" i="1"/>
  <c r="D93" i="1"/>
  <c r="D224" i="1"/>
  <c r="B196" i="1"/>
  <c r="B180" i="1"/>
  <c r="B164" i="1"/>
  <c r="B148" i="1"/>
  <c r="D133" i="1"/>
  <c r="A123" i="1"/>
  <c r="C113" i="1"/>
  <c r="C105" i="1"/>
  <c r="C97" i="1"/>
  <c r="C90" i="1"/>
  <c r="B85" i="1"/>
  <c r="D79" i="1"/>
  <c r="C74" i="1"/>
  <c r="B69" i="1"/>
  <c r="D63" i="1"/>
  <c r="C58" i="1"/>
  <c r="B53" i="1"/>
  <c r="D47" i="1"/>
  <c r="C42" i="1"/>
  <c r="B37" i="1"/>
  <c r="D31" i="1"/>
  <c r="C26" i="1"/>
  <c r="B21" i="1"/>
  <c r="D15" i="1"/>
  <c r="C10" i="1"/>
  <c r="B5" i="1"/>
  <c r="D68" i="1"/>
  <c r="D56" i="1"/>
  <c r="D48" i="1"/>
  <c r="D40" i="1"/>
  <c r="B34" i="1"/>
  <c r="D215" i="1"/>
  <c r="D191" i="1"/>
  <c r="D175" i="1"/>
  <c r="D159" i="1"/>
  <c r="D143" i="1"/>
  <c r="D130" i="1"/>
  <c r="A120" i="1"/>
  <c r="B111" i="1"/>
  <c r="B103" i="1"/>
  <c r="B95" i="1"/>
  <c r="D88" i="1"/>
  <c r="C83" i="1"/>
  <c r="B78" i="1"/>
  <c r="C71" i="1"/>
  <c r="C63" i="1"/>
  <c r="C51" i="1"/>
  <c r="D220" i="1"/>
  <c r="B178" i="1"/>
  <c r="B146" i="1"/>
  <c r="D121" i="1"/>
  <c r="C104" i="1"/>
  <c r="D89" i="1"/>
  <c r="B79" i="1"/>
  <c r="C68" i="1"/>
  <c r="D57" i="1"/>
  <c r="B47" i="1"/>
  <c r="D36" i="1"/>
  <c r="C229" i="1"/>
  <c r="C213" i="1"/>
  <c r="C197" i="1"/>
  <c r="C181" i="1"/>
  <c r="C165" i="1"/>
  <c r="C149" i="1"/>
  <c r="C133" i="1"/>
  <c r="C117" i="1"/>
  <c r="B228" i="1"/>
  <c r="B212" i="1"/>
  <c r="A240" i="1"/>
  <c r="A224" i="1"/>
  <c r="A208" i="1"/>
  <c r="A192" i="1"/>
  <c r="A176" i="1"/>
  <c r="A160" i="1"/>
  <c r="A144" i="1"/>
  <c r="D214" i="1"/>
  <c r="B175" i="1"/>
  <c r="B143" i="1"/>
  <c r="D119" i="1"/>
  <c r="A103" i="1"/>
  <c r="A87" i="1"/>
  <c r="A71" i="1"/>
  <c r="A55" i="1"/>
  <c r="A39" i="1"/>
  <c r="A23" i="1"/>
  <c r="A14" i="1"/>
  <c r="A6" i="1"/>
  <c r="D229" i="1"/>
  <c r="D198" i="1"/>
  <c r="D182" i="1"/>
  <c r="D168" i="1"/>
  <c r="D158" i="1"/>
  <c r="D148" i="1"/>
  <c r="D136" i="1"/>
  <c r="A130" i="1"/>
  <c r="B123" i="1"/>
  <c r="D116" i="1"/>
  <c r="D112" i="1"/>
  <c r="D108" i="1"/>
  <c r="D104" i="1"/>
  <c r="D100" i="1"/>
  <c r="D96" i="1"/>
  <c r="D92" i="1"/>
  <c r="D216" i="1"/>
  <c r="B192" i="1"/>
  <c r="B176" i="1"/>
  <c r="B160" i="1"/>
  <c r="B144" i="1"/>
  <c r="A131" i="1"/>
  <c r="B120" i="1"/>
  <c r="C111" i="1"/>
  <c r="C103" i="1"/>
  <c r="C95" i="1"/>
  <c r="B89" i="1"/>
  <c r="D83" i="1"/>
  <c r="C78" i="1"/>
  <c r="B73" i="1"/>
  <c r="D67" i="1"/>
  <c r="C62" i="1"/>
  <c r="B57" i="1"/>
  <c r="D51" i="1"/>
  <c r="C46" i="1"/>
  <c r="B41" i="1"/>
  <c r="D35" i="1"/>
  <c r="C30" i="1"/>
  <c r="B25" i="1"/>
  <c r="D19" i="1"/>
  <c r="C14" i="1"/>
  <c r="B9" i="1"/>
  <c r="D3" i="1"/>
  <c r="D64" i="1"/>
  <c r="C55" i="1"/>
  <c r="B46" i="1"/>
  <c r="C39" i="1"/>
  <c r="D239" i="1"/>
  <c r="D207" i="1"/>
  <c r="D187" i="1"/>
  <c r="D171" i="1"/>
  <c r="D155" i="1"/>
  <c r="D139" i="1"/>
  <c r="A128" i="1"/>
  <c r="B117" i="1"/>
  <c r="B109" i="1"/>
  <c r="B101" i="1"/>
  <c r="B93" i="1"/>
  <c r="C87" i="1"/>
  <c r="B82" i="1"/>
  <c r="D76" i="1"/>
  <c r="B70" i="1"/>
  <c r="D60" i="1"/>
  <c r="C47" i="1"/>
  <c r="D204" i="1"/>
  <c r="B170" i="1"/>
  <c r="B138" i="1"/>
  <c r="C116" i="1"/>
  <c r="C100" i="1"/>
  <c r="B87" i="1"/>
  <c r="C76" i="1"/>
  <c r="D65" i="1"/>
  <c r="B55" i="1"/>
  <c r="C44" i="1"/>
  <c r="D34" i="1"/>
  <c r="B27" i="1"/>
  <c r="B20" i="1"/>
  <c r="D12" i="1"/>
  <c r="D5" i="1"/>
  <c r="B30" i="1"/>
  <c r="D17" i="1"/>
  <c r="D8" i="1"/>
  <c r="B26" i="1"/>
  <c r="D4" i="1"/>
  <c r="C225" i="1"/>
  <c r="C209" i="1"/>
  <c r="C193" i="1"/>
  <c r="C177" i="1"/>
  <c r="C161" i="1"/>
  <c r="C145" i="1"/>
  <c r="C129" i="1"/>
  <c r="B240" i="1"/>
  <c r="B224" i="1"/>
  <c r="B208" i="1"/>
  <c r="A236" i="1"/>
  <c r="A220" i="1"/>
  <c r="A204" i="1"/>
  <c r="A188" i="1"/>
  <c r="A172" i="1"/>
  <c r="A156" i="1"/>
  <c r="A140" i="1"/>
  <c r="B199" i="1"/>
  <c r="B167" i="1"/>
  <c r="D135" i="1"/>
  <c r="A115" i="1"/>
  <c r="A99" i="1"/>
  <c r="A83" i="1"/>
  <c r="A67" i="1"/>
  <c r="A51" i="1"/>
  <c r="A35" i="1"/>
  <c r="A19" i="1"/>
  <c r="A11" i="1"/>
  <c r="A3" i="1"/>
  <c r="D217" i="1"/>
  <c r="D192" i="1"/>
  <c r="D176" i="1"/>
  <c r="D166" i="1"/>
  <c r="D156" i="1"/>
  <c r="D144" i="1"/>
  <c r="B135" i="1"/>
  <c r="D128" i="1"/>
  <c r="D120" i="1"/>
  <c r="D115" i="1"/>
  <c r="D111" i="1"/>
  <c r="D107" i="1"/>
  <c r="D103" i="1"/>
  <c r="D99" i="1"/>
  <c r="D95" i="1"/>
  <c r="D240" i="1"/>
  <c r="D208" i="1"/>
  <c r="B188" i="1"/>
  <c r="B172" i="1"/>
  <c r="B156" i="1"/>
  <c r="B140" i="1"/>
  <c r="B128" i="1"/>
  <c r="D117" i="1"/>
  <c r="C109" i="1"/>
  <c r="C101" i="1"/>
  <c r="C93" i="1"/>
  <c r="D87" i="1"/>
  <c r="C82" i="1"/>
  <c r="B77" i="1"/>
  <c r="D71" i="1"/>
  <c r="C66" i="1"/>
  <c r="B61" i="1"/>
  <c r="D55" i="1"/>
  <c r="C50" i="1"/>
  <c r="B45" i="1"/>
  <c r="D39" i="1"/>
  <c r="C34" i="1"/>
  <c r="B29" i="1"/>
  <c r="D23" i="1"/>
  <c r="C18" i="1"/>
  <c r="B13" i="1"/>
  <c r="D7" i="1"/>
  <c r="C2" i="1"/>
  <c r="B62" i="1"/>
  <c r="D52" i="1"/>
  <c r="D44" i="1"/>
  <c r="B38" i="1"/>
  <c r="D231" i="1"/>
  <c r="D199" i="1"/>
  <c r="D183" i="1"/>
  <c r="D167" i="1"/>
  <c r="D151" i="1"/>
  <c r="A136" i="1"/>
  <c r="B125" i="1"/>
  <c r="B115" i="1"/>
  <c r="B107" i="1"/>
  <c r="B99" i="1"/>
  <c r="C91" i="1"/>
  <c r="B86" i="1"/>
  <c r="D80" i="1"/>
  <c r="C75" i="1"/>
  <c r="C67" i="1"/>
  <c r="B58" i="1"/>
  <c r="B42" i="1"/>
  <c r="B194" i="1"/>
  <c r="B162" i="1"/>
  <c r="B132" i="1"/>
  <c r="C112" i="1"/>
  <c r="C96" i="1"/>
  <c r="C84" i="1"/>
  <c r="D73" i="1"/>
  <c r="B63" i="1"/>
  <c r="C52" i="1"/>
  <c r="D41" i="1"/>
  <c r="C32" i="1"/>
  <c r="C25" i="1"/>
  <c r="B18" i="1"/>
  <c r="B11" i="1"/>
  <c r="B4" i="1"/>
  <c r="D26" i="1"/>
  <c r="B16" i="1"/>
  <c r="B7" i="1"/>
  <c r="B19" i="1"/>
  <c r="D227" i="1"/>
  <c r="C53" i="1"/>
  <c r="C20" i="1"/>
  <c r="D219" i="1"/>
  <c r="D177" i="1"/>
  <c r="D145" i="1"/>
  <c r="B121" i="1"/>
  <c r="B104" i="1"/>
  <c r="C89" i="1"/>
  <c r="D78" i="1"/>
  <c r="B68" i="1"/>
  <c r="C57" i="1"/>
  <c r="D46" i="1"/>
  <c r="C36" i="1"/>
  <c r="C19" i="1"/>
  <c r="D28" i="1"/>
  <c r="D33" i="1"/>
  <c r="B12" i="1"/>
  <c r="B64" i="1"/>
  <c r="B15" i="1"/>
  <c r="D193" i="1"/>
  <c r="D153" i="1"/>
  <c r="B116" i="1"/>
  <c r="B96" i="1"/>
  <c r="C81" i="1"/>
  <c r="C65" i="1"/>
  <c r="B52" i="1"/>
  <c r="D38" i="1"/>
  <c r="D10" i="1"/>
  <c r="D211" i="1"/>
  <c r="B48" i="1"/>
  <c r="D18" i="1"/>
  <c r="D2" i="1"/>
  <c r="B190" i="1"/>
  <c r="B158" i="1"/>
  <c r="D129" i="1"/>
  <c r="C110" i="1"/>
  <c r="C94" i="1"/>
  <c r="B83" i="1"/>
  <c r="C72" i="1"/>
  <c r="D61" i="1"/>
  <c r="B51" i="1"/>
  <c r="C40" i="1"/>
  <c r="C31" i="1"/>
  <c r="D22" i="1"/>
  <c r="D6" i="1"/>
  <c r="D173" i="1"/>
  <c r="D141" i="1"/>
  <c r="D118" i="1"/>
  <c r="B94" i="1"/>
  <c r="D82" i="1"/>
  <c r="D66" i="1"/>
  <c r="C45" i="1"/>
  <c r="D25" i="1"/>
  <c r="C4" i="1"/>
  <c r="C48" i="1"/>
  <c r="D20" i="1"/>
  <c r="D165" i="1"/>
  <c r="D134" i="1"/>
  <c r="D90" i="1"/>
  <c r="D58" i="1"/>
  <c r="B40" i="1"/>
  <c r="B22" i="1"/>
  <c r="C114" i="1"/>
  <c r="B43" i="1"/>
  <c r="D13" i="1"/>
  <c r="A124" i="1"/>
  <c r="C69" i="1"/>
  <c r="B31" i="1"/>
  <c r="D21" i="1"/>
  <c r="C21" i="1"/>
  <c r="C8" i="1"/>
  <c r="D42" i="1"/>
  <c r="B8" i="1"/>
  <c r="D185" i="1"/>
  <c r="D137" i="1"/>
  <c r="B112" i="1"/>
  <c r="B92" i="1"/>
  <c r="B76" i="1"/>
  <c r="D62" i="1"/>
  <c r="C49" i="1"/>
  <c r="B32" i="1"/>
  <c r="C15" i="1"/>
  <c r="B98" i="1"/>
  <c r="C37" i="1"/>
  <c r="C13" i="1"/>
  <c r="D228" i="1"/>
  <c r="B182" i="1"/>
  <c r="B150" i="1"/>
  <c r="B124" i="1"/>
  <c r="C106" i="1"/>
  <c r="B91" i="1"/>
  <c r="C80" i="1"/>
  <c r="D69" i="1"/>
  <c r="B59" i="1"/>
  <c r="D37" i="1"/>
  <c r="D29" i="1"/>
  <c r="D197" i="1"/>
  <c r="B114" i="1"/>
  <c r="B80" i="1"/>
  <c r="D85" i="1"/>
  <c r="D53" i="1"/>
  <c r="C24" i="1"/>
  <c r="D149" i="1"/>
  <c r="B106" i="1"/>
  <c r="D50" i="1"/>
  <c r="D14" i="1"/>
  <c r="C12" i="1"/>
  <c r="B102" i="1"/>
  <c r="D32" i="1"/>
  <c r="D235" i="1"/>
  <c r="D169" i="1"/>
  <c r="A132" i="1"/>
  <c r="B108" i="1"/>
  <c r="D86" i="1"/>
  <c r="C73" i="1"/>
  <c r="B60" i="1"/>
  <c r="B44" i="1"/>
  <c r="C28" i="1"/>
  <c r="B10" i="1"/>
  <c r="D74" i="1"/>
  <c r="C29" i="1"/>
  <c r="D9" i="1"/>
  <c r="D212" i="1"/>
  <c r="B174" i="1"/>
  <c r="B142" i="1"/>
  <c r="A119" i="1"/>
  <c r="C102" i="1"/>
  <c r="C88" i="1"/>
  <c r="D77" i="1"/>
  <c r="B67" i="1"/>
  <c r="C56" i="1"/>
  <c r="D45" i="1"/>
  <c r="B36" i="1"/>
  <c r="B28" i="1"/>
  <c r="C17" i="1"/>
  <c r="D189" i="1"/>
  <c r="D157" i="1"/>
  <c r="B129" i="1"/>
  <c r="B110" i="1"/>
  <c r="B88" i="1"/>
  <c r="B72" i="1"/>
  <c r="B56" i="1"/>
  <c r="B35" i="1"/>
  <c r="D16" i="1"/>
  <c r="C7" i="1"/>
  <c r="C3" i="1"/>
  <c r="C77" i="1"/>
  <c r="C27" i="1"/>
  <c r="D203" i="1"/>
  <c r="D161" i="1"/>
  <c r="D126" i="1"/>
  <c r="B100" i="1"/>
  <c r="B84" i="1"/>
  <c r="D70" i="1"/>
  <c r="D54" i="1"/>
  <c r="C41" i="1"/>
  <c r="D24" i="1"/>
  <c r="B3" i="1"/>
  <c r="C61" i="1"/>
  <c r="B24" i="1"/>
  <c r="B6" i="1"/>
  <c r="B198" i="1"/>
  <c r="B166" i="1"/>
  <c r="A135" i="1"/>
  <c r="C98" i="1"/>
  <c r="B75" i="1"/>
  <c r="C64" i="1"/>
  <c r="C33" i="1"/>
  <c r="D181" i="1"/>
  <c r="C85" i="1"/>
  <c r="C1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2" x14ac:knownFonts="1">
    <font>
      <sz val="10"/>
      <color rgb="FF000000"/>
      <name val="Arial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Sheet1!$D$3:$D$243</c:f>
              <c:numCache>
                <c:formatCode>General</c:formatCode>
                <c:ptCount val="241"/>
                <c:pt idx="0">
                  <c:v>6950</c:v>
                </c:pt>
                <c:pt idx="1">
                  <c:v>6750</c:v>
                </c:pt>
                <c:pt idx="2">
                  <c:v>6850</c:v>
                </c:pt>
                <c:pt idx="3">
                  <c:v>6825</c:v>
                </c:pt>
                <c:pt idx="4">
                  <c:v>6800</c:v>
                </c:pt>
                <c:pt idx="5">
                  <c:v>6775</c:v>
                </c:pt>
                <c:pt idx="6">
                  <c:v>6750</c:v>
                </c:pt>
                <c:pt idx="7">
                  <c:v>7000</c:v>
                </c:pt>
                <c:pt idx="8">
                  <c:v>7300</c:v>
                </c:pt>
                <c:pt idx="9">
                  <c:v>7300</c:v>
                </c:pt>
                <c:pt idx="10">
                  <c:v>6925</c:v>
                </c:pt>
                <c:pt idx="11">
                  <c:v>6825</c:v>
                </c:pt>
                <c:pt idx="12">
                  <c:v>6750</c:v>
                </c:pt>
                <c:pt idx="13">
                  <c:v>6800</c:v>
                </c:pt>
                <c:pt idx="14">
                  <c:v>6800</c:v>
                </c:pt>
                <c:pt idx="15">
                  <c:v>6525</c:v>
                </c:pt>
                <c:pt idx="16">
                  <c:v>6400</c:v>
                </c:pt>
                <c:pt idx="17">
                  <c:v>6375</c:v>
                </c:pt>
                <c:pt idx="18">
                  <c:v>6425</c:v>
                </c:pt>
                <c:pt idx="19">
                  <c:v>6425</c:v>
                </c:pt>
                <c:pt idx="20">
                  <c:v>6350</c:v>
                </c:pt>
                <c:pt idx="21">
                  <c:v>6250</c:v>
                </c:pt>
                <c:pt idx="22">
                  <c:v>6375</c:v>
                </c:pt>
                <c:pt idx="23">
                  <c:v>6400</c:v>
                </c:pt>
                <c:pt idx="24">
                  <c:v>6525</c:v>
                </c:pt>
                <c:pt idx="25">
                  <c:v>6500</c:v>
                </c:pt>
                <c:pt idx="26">
                  <c:v>6575</c:v>
                </c:pt>
                <c:pt idx="27">
                  <c:v>6650</c:v>
                </c:pt>
                <c:pt idx="28">
                  <c:v>6650</c:v>
                </c:pt>
                <c:pt idx="29">
                  <c:v>6700</c:v>
                </c:pt>
                <c:pt idx="30">
                  <c:v>6825</c:v>
                </c:pt>
                <c:pt idx="31">
                  <c:v>6800</c:v>
                </c:pt>
                <c:pt idx="32">
                  <c:v>6950</c:v>
                </c:pt>
                <c:pt idx="33">
                  <c:v>6900</c:v>
                </c:pt>
                <c:pt idx="34">
                  <c:v>6975</c:v>
                </c:pt>
                <c:pt idx="35">
                  <c:v>6775</c:v>
                </c:pt>
                <c:pt idx="36">
                  <c:v>6700</c:v>
                </c:pt>
                <c:pt idx="37">
                  <c:v>6550</c:v>
                </c:pt>
                <c:pt idx="38">
                  <c:v>6700</c:v>
                </c:pt>
                <c:pt idx="39">
                  <c:v>6950</c:v>
                </c:pt>
                <c:pt idx="40">
                  <c:v>6800</c:v>
                </c:pt>
                <c:pt idx="41">
                  <c:v>6825</c:v>
                </c:pt>
                <c:pt idx="42">
                  <c:v>7025</c:v>
                </c:pt>
                <c:pt idx="43">
                  <c:v>7025</c:v>
                </c:pt>
                <c:pt idx="44">
                  <c:v>7000</c:v>
                </c:pt>
                <c:pt idx="45">
                  <c:v>7275</c:v>
                </c:pt>
                <c:pt idx="46">
                  <c:v>7250</c:v>
                </c:pt>
                <c:pt idx="47">
                  <c:v>7225</c:v>
                </c:pt>
                <c:pt idx="48">
                  <c:v>7275</c:v>
                </c:pt>
                <c:pt idx="49">
                  <c:v>7800</c:v>
                </c:pt>
                <c:pt idx="50">
                  <c:v>7700</c:v>
                </c:pt>
                <c:pt idx="51">
                  <c:v>7875</c:v>
                </c:pt>
                <c:pt idx="52">
                  <c:v>7550</c:v>
                </c:pt>
                <c:pt idx="53">
                  <c:v>7350</c:v>
                </c:pt>
                <c:pt idx="54">
                  <c:v>7275</c:v>
                </c:pt>
                <c:pt idx="55">
                  <c:v>7250</c:v>
                </c:pt>
                <c:pt idx="56">
                  <c:v>7300</c:v>
                </c:pt>
                <c:pt idx="57">
                  <c:v>7250</c:v>
                </c:pt>
                <c:pt idx="58">
                  <c:v>7375</c:v>
                </c:pt>
                <c:pt idx="59">
                  <c:v>7675</c:v>
                </c:pt>
                <c:pt idx="60">
                  <c:v>7725</c:v>
                </c:pt>
                <c:pt idx="61">
                  <c:v>7800</c:v>
                </c:pt>
                <c:pt idx="62">
                  <c:v>7800</c:v>
                </c:pt>
                <c:pt idx="63">
                  <c:v>8000</c:v>
                </c:pt>
                <c:pt idx="64">
                  <c:v>8025</c:v>
                </c:pt>
                <c:pt idx="65">
                  <c:v>7525</c:v>
                </c:pt>
                <c:pt idx="66">
                  <c:v>7675</c:v>
                </c:pt>
                <c:pt idx="67">
                  <c:v>7700</c:v>
                </c:pt>
                <c:pt idx="68">
                  <c:v>7725</c:v>
                </c:pt>
                <c:pt idx="69">
                  <c:v>7750</c:v>
                </c:pt>
                <c:pt idx="70">
                  <c:v>7825</c:v>
                </c:pt>
                <c:pt idx="71">
                  <c:v>7900</c:v>
                </c:pt>
                <c:pt idx="72">
                  <c:v>7850</c:v>
                </c:pt>
                <c:pt idx="73">
                  <c:v>7900</c:v>
                </c:pt>
                <c:pt idx="74">
                  <c:v>7950</c:v>
                </c:pt>
                <c:pt idx="75">
                  <c:v>7875</c:v>
                </c:pt>
                <c:pt idx="76">
                  <c:v>7600</c:v>
                </c:pt>
                <c:pt idx="77">
                  <c:v>7475</c:v>
                </c:pt>
                <c:pt idx="78">
                  <c:v>7425</c:v>
                </c:pt>
                <c:pt idx="79">
                  <c:v>7425</c:v>
                </c:pt>
                <c:pt idx="80">
                  <c:v>7425</c:v>
                </c:pt>
                <c:pt idx="81">
                  <c:v>7400</c:v>
                </c:pt>
                <c:pt idx="82">
                  <c:v>7500</c:v>
                </c:pt>
                <c:pt idx="83">
                  <c:v>7475</c:v>
                </c:pt>
                <c:pt idx="84">
                  <c:v>7475</c:v>
                </c:pt>
                <c:pt idx="85">
                  <c:v>7500</c:v>
                </c:pt>
                <c:pt idx="86">
                  <c:v>7425</c:v>
                </c:pt>
                <c:pt idx="87">
                  <c:v>7575</c:v>
                </c:pt>
                <c:pt idx="88">
                  <c:v>7675</c:v>
                </c:pt>
                <c:pt idx="89">
                  <c:v>7700</c:v>
                </c:pt>
                <c:pt idx="90">
                  <c:v>7500</c:v>
                </c:pt>
                <c:pt idx="91">
                  <c:v>7500</c:v>
                </c:pt>
                <c:pt idx="92">
                  <c:v>7600</c:v>
                </c:pt>
                <c:pt idx="93">
                  <c:v>7500</c:v>
                </c:pt>
                <c:pt idx="94">
                  <c:v>7450</c:v>
                </c:pt>
                <c:pt idx="95">
                  <c:v>7450</c:v>
                </c:pt>
                <c:pt idx="96">
                  <c:v>7075</c:v>
                </c:pt>
                <c:pt idx="97">
                  <c:v>7225</c:v>
                </c:pt>
                <c:pt idx="98">
                  <c:v>7225</c:v>
                </c:pt>
                <c:pt idx="99">
                  <c:v>7175</c:v>
                </c:pt>
                <c:pt idx="100">
                  <c:v>7150</c:v>
                </c:pt>
                <c:pt idx="101">
                  <c:v>7200</c:v>
                </c:pt>
                <c:pt idx="102">
                  <c:v>7225</c:v>
                </c:pt>
                <c:pt idx="103">
                  <c:v>7400</c:v>
                </c:pt>
                <c:pt idx="104">
                  <c:v>7525</c:v>
                </c:pt>
                <c:pt idx="105">
                  <c:v>7450</c:v>
                </c:pt>
                <c:pt idx="106">
                  <c:v>7400</c:v>
                </c:pt>
                <c:pt idx="107">
                  <c:v>7250</c:v>
                </c:pt>
                <c:pt idx="108">
                  <c:v>7225</c:v>
                </c:pt>
                <c:pt idx="109">
                  <c:v>7175</c:v>
                </c:pt>
                <c:pt idx="110">
                  <c:v>7150</c:v>
                </c:pt>
                <c:pt idx="111">
                  <c:v>7150</c:v>
                </c:pt>
                <c:pt idx="112">
                  <c:v>7225</c:v>
                </c:pt>
                <c:pt idx="113">
                  <c:v>7275</c:v>
                </c:pt>
                <c:pt idx="114">
                  <c:v>7200</c:v>
                </c:pt>
                <c:pt idx="115">
                  <c:v>7225</c:v>
                </c:pt>
                <c:pt idx="116">
                  <c:v>7350</c:v>
                </c:pt>
                <c:pt idx="117">
                  <c:v>7275</c:v>
                </c:pt>
                <c:pt idx="118">
                  <c:v>7350</c:v>
                </c:pt>
                <c:pt idx="119">
                  <c:v>7450</c:v>
                </c:pt>
                <c:pt idx="120">
                  <c:v>7350</c:v>
                </c:pt>
                <c:pt idx="121">
                  <c:v>7350</c:v>
                </c:pt>
                <c:pt idx="122">
                  <c:v>7500</c:v>
                </c:pt>
                <c:pt idx="123">
                  <c:v>7650</c:v>
                </c:pt>
                <c:pt idx="124">
                  <c:v>7825</c:v>
                </c:pt>
                <c:pt idx="125">
                  <c:v>7550</c:v>
                </c:pt>
                <c:pt idx="126">
                  <c:v>7500</c:v>
                </c:pt>
                <c:pt idx="127">
                  <c:v>7600</c:v>
                </c:pt>
                <c:pt idx="128">
                  <c:v>7600</c:v>
                </c:pt>
                <c:pt idx="129">
                  <c:v>7600</c:v>
                </c:pt>
                <c:pt idx="130">
                  <c:v>7650</c:v>
                </c:pt>
                <c:pt idx="131">
                  <c:v>7725</c:v>
                </c:pt>
                <c:pt idx="132">
                  <c:v>7725</c:v>
                </c:pt>
                <c:pt idx="133">
                  <c:v>7700</c:v>
                </c:pt>
                <c:pt idx="134">
                  <c:v>7675</c:v>
                </c:pt>
                <c:pt idx="135">
                  <c:v>7725</c:v>
                </c:pt>
                <c:pt idx="136">
                  <c:v>7900</c:v>
                </c:pt>
                <c:pt idx="137">
                  <c:v>7800</c:v>
                </c:pt>
                <c:pt idx="138">
                  <c:v>7625</c:v>
                </c:pt>
                <c:pt idx="139">
                  <c:v>7675</c:v>
                </c:pt>
                <c:pt idx="140">
                  <c:v>7550</c:v>
                </c:pt>
                <c:pt idx="141">
                  <c:v>7650</c:v>
                </c:pt>
                <c:pt idx="142">
                  <c:v>7650</c:v>
                </c:pt>
                <c:pt idx="143">
                  <c:v>7725</c:v>
                </c:pt>
                <c:pt idx="144">
                  <c:v>7725</c:v>
                </c:pt>
                <c:pt idx="145">
                  <c:v>7650</c:v>
                </c:pt>
                <c:pt idx="146">
                  <c:v>7675</c:v>
                </c:pt>
                <c:pt idx="147">
                  <c:v>7675</c:v>
                </c:pt>
                <c:pt idx="148">
                  <c:v>7725</c:v>
                </c:pt>
                <c:pt idx="149">
                  <c:v>7775</c:v>
                </c:pt>
                <c:pt idx="150">
                  <c:v>7725</c:v>
                </c:pt>
                <c:pt idx="151">
                  <c:v>7625</c:v>
                </c:pt>
                <c:pt idx="152">
                  <c:v>7600</c:v>
                </c:pt>
                <c:pt idx="153">
                  <c:v>7600</c:v>
                </c:pt>
                <c:pt idx="154">
                  <c:v>7675</c:v>
                </c:pt>
                <c:pt idx="155">
                  <c:v>7575</c:v>
                </c:pt>
                <c:pt idx="156">
                  <c:v>7625</c:v>
                </c:pt>
                <c:pt idx="157">
                  <c:v>7725</c:v>
                </c:pt>
                <c:pt idx="158">
                  <c:v>7675</c:v>
                </c:pt>
                <c:pt idx="159">
                  <c:v>7550</c:v>
                </c:pt>
                <c:pt idx="160">
                  <c:v>7650</c:v>
                </c:pt>
                <c:pt idx="161">
                  <c:v>7575</c:v>
                </c:pt>
                <c:pt idx="162">
                  <c:v>7500</c:v>
                </c:pt>
                <c:pt idx="163">
                  <c:v>7325</c:v>
                </c:pt>
                <c:pt idx="164">
                  <c:v>7250</c:v>
                </c:pt>
                <c:pt idx="165">
                  <c:v>7225</c:v>
                </c:pt>
                <c:pt idx="166">
                  <c:v>7300</c:v>
                </c:pt>
                <c:pt idx="167">
                  <c:v>7250</c:v>
                </c:pt>
                <c:pt idx="168">
                  <c:v>7275</c:v>
                </c:pt>
                <c:pt idx="169">
                  <c:v>7375</c:v>
                </c:pt>
                <c:pt idx="170">
                  <c:v>7350</c:v>
                </c:pt>
                <c:pt idx="171">
                  <c:v>7350</c:v>
                </c:pt>
                <c:pt idx="172">
                  <c:v>7250</c:v>
                </c:pt>
                <c:pt idx="173">
                  <c:v>7200</c:v>
                </c:pt>
                <c:pt idx="174">
                  <c:v>7175</c:v>
                </c:pt>
                <c:pt idx="175">
                  <c:v>7000</c:v>
                </c:pt>
                <c:pt idx="176">
                  <c:v>7050</c:v>
                </c:pt>
                <c:pt idx="177">
                  <c:v>7050</c:v>
                </c:pt>
                <c:pt idx="178">
                  <c:v>7000</c:v>
                </c:pt>
                <c:pt idx="179">
                  <c:v>6600</c:v>
                </c:pt>
                <c:pt idx="180">
                  <c:v>6600</c:v>
                </c:pt>
                <c:pt idx="181">
                  <c:v>6725</c:v>
                </c:pt>
                <c:pt idx="182">
                  <c:v>6800</c:v>
                </c:pt>
                <c:pt idx="183">
                  <c:v>6700</c:v>
                </c:pt>
                <c:pt idx="184">
                  <c:v>6725</c:v>
                </c:pt>
                <c:pt idx="185">
                  <c:v>6500</c:v>
                </c:pt>
                <c:pt idx="186">
                  <c:v>6350</c:v>
                </c:pt>
                <c:pt idx="187">
                  <c:v>6400</c:v>
                </c:pt>
                <c:pt idx="188">
                  <c:v>6400</c:v>
                </c:pt>
                <c:pt idx="189">
                  <c:v>6350</c:v>
                </c:pt>
                <c:pt idx="190">
                  <c:v>6550</c:v>
                </c:pt>
                <c:pt idx="191">
                  <c:v>6600</c:v>
                </c:pt>
                <c:pt idx="192">
                  <c:v>6500</c:v>
                </c:pt>
                <c:pt idx="193">
                  <c:v>6550</c:v>
                </c:pt>
                <c:pt idx="194">
                  <c:v>6700</c:v>
                </c:pt>
                <c:pt idx="195">
                  <c:v>6600</c:v>
                </c:pt>
                <c:pt idx="196">
                  <c:v>6525</c:v>
                </c:pt>
                <c:pt idx="197">
                  <c:v>6650</c:v>
                </c:pt>
                <c:pt idx="198">
                  <c:v>6875</c:v>
                </c:pt>
                <c:pt idx="199">
                  <c:v>6900</c:v>
                </c:pt>
                <c:pt idx="200">
                  <c:v>6775</c:v>
                </c:pt>
                <c:pt idx="201">
                  <c:v>6875</c:v>
                </c:pt>
                <c:pt idx="202">
                  <c:v>6775</c:v>
                </c:pt>
                <c:pt idx="203">
                  <c:v>6950</c:v>
                </c:pt>
                <c:pt idx="204">
                  <c:v>6950</c:v>
                </c:pt>
                <c:pt idx="205">
                  <c:v>6950</c:v>
                </c:pt>
                <c:pt idx="206">
                  <c:v>6725</c:v>
                </c:pt>
                <c:pt idx="207">
                  <c:v>6875</c:v>
                </c:pt>
                <c:pt idx="208">
                  <c:v>7100</c:v>
                </c:pt>
                <c:pt idx="209">
                  <c:v>7100</c:v>
                </c:pt>
                <c:pt idx="210">
                  <c:v>7175</c:v>
                </c:pt>
                <c:pt idx="211">
                  <c:v>7125</c:v>
                </c:pt>
                <c:pt idx="212">
                  <c:v>7200</c:v>
                </c:pt>
                <c:pt idx="213">
                  <c:v>7150</c:v>
                </c:pt>
                <c:pt idx="214">
                  <c:v>6875</c:v>
                </c:pt>
                <c:pt idx="215">
                  <c:v>6950</c:v>
                </c:pt>
                <c:pt idx="216">
                  <c:v>7100</c:v>
                </c:pt>
                <c:pt idx="217">
                  <c:v>6900</c:v>
                </c:pt>
                <c:pt idx="218">
                  <c:v>7025</c:v>
                </c:pt>
                <c:pt idx="219">
                  <c:v>7100</c:v>
                </c:pt>
                <c:pt idx="220">
                  <c:v>7125</c:v>
                </c:pt>
                <c:pt idx="221">
                  <c:v>7125</c:v>
                </c:pt>
                <c:pt idx="222">
                  <c:v>7000</c:v>
                </c:pt>
                <c:pt idx="223">
                  <c:v>6900</c:v>
                </c:pt>
                <c:pt idx="224">
                  <c:v>6975</c:v>
                </c:pt>
                <c:pt idx="225">
                  <c:v>7100</c:v>
                </c:pt>
                <c:pt idx="226">
                  <c:v>7100</c:v>
                </c:pt>
                <c:pt idx="227">
                  <c:v>7100</c:v>
                </c:pt>
                <c:pt idx="228">
                  <c:v>7150</c:v>
                </c:pt>
                <c:pt idx="229">
                  <c:v>7100</c:v>
                </c:pt>
                <c:pt idx="230">
                  <c:v>7175</c:v>
                </c:pt>
                <c:pt idx="231">
                  <c:v>7025</c:v>
                </c:pt>
                <c:pt idx="232">
                  <c:v>7100</c:v>
                </c:pt>
                <c:pt idx="233">
                  <c:v>7025</c:v>
                </c:pt>
                <c:pt idx="234">
                  <c:v>7200</c:v>
                </c:pt>
                <c:pt idx="235">
                  <c:v>7200</c:v>
                </c:pt>
                <c:pt idx="236">
                  <c:v>7125</c:v>
                </c:pt>
                <c:pt idx="237">
                  <c:v>7275</c:v>
                </c:pt>
                <c:pt idx="238">
                  <c:v>7325</c:v>
                </c:pt>
                <c:pt idx="239">
                  <c:v>7350</c:v>
                </c:pt>
                <c:pt idx="240">
                  <c:v>7425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47221984"/>
        <c:axId val="-1247224160"/>
      </c:lineChart>
      <c:catAx>
        <c:axId val="-1247221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47224160"/>
        <c:crosses val="autoZero"/>
        <c:auto val="1"/>
        <c:lblAlgn val="ctr"/>
        <c:lblOffset val="100"/>
        <c:noMultiLvlLbl val="0"/>
      </c:catAx>
      <c:valAx>
        <c:axId val="-124722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4722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42862</xdr:rowOff>
    </xdr:from>
    <xdr:to>
      <xdr:col>9</xdr:col>
      <xdr:colOff>723900</xdr:colOff>
      <xdr:row>15</xdr:row>
      <xdr:rowOff>185737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D243"/>
  <sheetViews>
    <sheetView tabSelected="1" topLeftCell="A205" workbookViewId="0">
      <selection activeCell="C10" sqref="C10"/>
    </sheetView>
  </sheetViews>
  <sheetFormatPr defaultColWidth="14.42578125" defaultRowHeight="15.75" customHeight="1" x14ac:dyDescent="0.2"/>
  <cols>
    <col min="1" max="1" width="25" customWidth="1"/>
    <col min="2" max="2" width="17.85546875" customWidth="1"/>
    <col min="3" max="3" width="32.5703125" customWidth="1"/>
  </cols>
  <sheetData>
    <row r="2" spans="1:4" x14ac:dyDescent="0.2">
      <c r="A2" s="1" t="str">
        <f ca="1">IFERROR(__xludf.DUMMYFUNCTION("GOOGLEFINANCE(""IDX:ASII"", ""open"", DATE(2014,1,1), DATE(2014,12,31), ""DAILY"")"),"Date")</f>
        <v>Date</v>
      </c>
      <c r="B2" s="1" t="str">
        <f ca="1">IFERROR(__xludf.DUMMYFUNCTION("""COMPUTED_VALUE"""),"Open")</f>
        <v>Open</v>
      </c>
      <c r="C2" s="1" t="str">
        <f ca="1">IFERROR(__xludf.DUMMYFUNCTION("GOOGLEFINANCE(""IDX:ASII"", ""close"", DATE(2014,1,1), DATE(2014,12,31), ""DAILY"")"),"Date")</f>
        <v>Date</v>
      </c>
      <c r="D2" s="1" t="str">
        <f ca="1">IFERROR(__xludf.DUMMYFUNCTION("""COMPUTED_VALUE"""),"Close")</f>
        <v>Close</v>
      </c>
    </row>
    <row r="3" spans="1:4" x14ac:dyDescent="0.2">
      <c r="A3" s="2">
        <f ca="1">IFERROR(__xludf.DUMMYFUNCTION("""COMPUTED_VALUE"""),41641.625)</f>
        <v>41641.625</v>
      </c>
      <c r="B3" s="1">
        <f ca="1">IFERROR(__xludf.DUMMYFUNCTION("""COMPUTED_VALUE"""),6850)</f>
        <v>6850</v>
      </c>
      <c r="C3" s="2">
        <f ca="1">IFERROR(__xludf.DUMMYFUNCTION("""COMPUTED_VALUE"""),41641.625)</f>
        <v>41641.625</v>
      </c>
      <c r="D3" s="1">
        <f ca="1">IFERROR(__xludf.DUMMYFUNCTION("""COMPUTED_VALUE"""),6950)</f>
        <v>6950</v>
      </c>
    </row>
    <row r="4" spans="1:4" x14ac:dyDescent="0.2">
      <c r="A4" s="2">
        <f ca="1">IFERROR(__xludf.DUMMYFUNCTION("""COMPUTED_VALUE"""),41642.625)</f>
        <v>41642.625</v>
      </c>
      <c r="B4" s="1">
        <f ca="1">IFERROR(__xludf.DUMMYFUNCTION("""COMPUTED_VALUE"""),6950)</f>
        <v>6950</v>
      </c>
      <c r="C4" s="2">
        <f ca="1">IFERROR(__xludf.DUMMYFUNCTION("""COMPUTED_VALUE"""),41642.625)</f>
        <v>41642.625</v>
      </c>
      <c r="D4" s="1">
        <f ca="1">IFERROR(__xludf.DUMMYFUNCTION("""COMPUTED_VALUE"""),6750)</f>
        <v>6750</v>
      </c>
    </row>
    <row r="5" spans="1:4" x14ac:dyDescent="0.2">
      <c r="A5" s="2">
        <f ca="1">IFERROR(__xludf.DUMMYFUNCTION("""COMPUTED_VALUE"""),41645.625)</f>
        <v>41645.625</v>
      </c>
      <c r="B5" s="1">
        <f ca="1">IFERROR(__xludf.DUMMYFUNCTION("""COMPUTED_VALUE"""),6800)</f>
        <v>6800</v>
      </c>
      <c r="C5" s="2">
        <f ca="1">IFERROR(__xludf.DUMMYFUNCTION("""COMPUTED_VALUE"""),41645.625)</f>
        <v>41645.625</v>
      </c>
      <c r="D5" s="1">
        <f ca="1">IFERROR(__xludf.DUMMYFUNCTION("""COMPUTED_VALUE"""),6850)</f>
        <v>6850</v>
      </c>
    </row>
    <row r="6" spans="1:4" x14ac:dyDescent="0.2">
      <c r="A6" s="2">
        <f ca="1">IFERROR(__xludf.DUMMYFUNCTION("""COMPUTED_VALUE"""),41646.625)</f>
        <v>41646.625</v>
      </c>
      <c r="B6" s="1">
        <f ca="1">IFERROR(__xludf.DUMMYFUNCTION("""COMPUTED_VALUE"""),6900)</f>
        <v>6900</v>
      </c>
      <c r="C6" s="2">
        <f ca="1">IFERROR(__xludf.DUMMYFUNCTION("""COMPUTED_VALUE"""),41646.625)</f>
        <v>41646.625</v>
      </c>
      <c r="D6" s="1">
        <f ca="1">IFERROR(__xludf.DUMMYFUNCTION("""COMPUTED_VALUE"""),6825)</f>
        <v>6825</v>
      </c>
    </row>
    <row r="7" spans="1:4" x14ac:dyDescent="0.2">
      <c r="A7" s="2">
        <f ca="1">IFERROR(__xludf.DUMMYFUNCTION("""COMPUTED_VALUE"""),41647.625)</f>
        <v>41647.625</v>
      </c>
      <c r="B7" s="1">
        <f ca="1">IFERROR(__xludf.DUMMYFUNCTION("""COMPUTED_VALUE"""),6850)</f>
        <v>6850</v>
      </c>
      <c r="C7" s="2">
        <f ca="1">IFERROR(__xludf.DUMMYFUNCTION("""COMPUTED_VALUE"""),41647.625)</f>
        <v>41647.625</v>
      </c>
      <c r="D7" s="1">
        <f ca="1">IFERROR(__xludf.DUMMYFUNCTION("""COMPUTED_VALUE"""),6800)</f>
        <v>6800</v>
      </c>
    </row>
    <row r="8" spans="1:4" x14ac:dyDescent="0.2">
      <c r="A8" s="2">
        <f ca="1">IFERROR(__xludf.DUMMYFUNCTION("""COMPUTED_VALUE"""),41648.625)</f>
        <v>41648.625</v>
      </c>
      <c r="B8" s="1">
        <f ca="1">IFERROR(__xludf.DUMMYFUNCTION("""COMPUTED_VALUE"""),6825)</f>
        <v>6825</v>
      </c>
      <c r="C8" s="2">
        <f ca="1">IFERROR(__xludf.DUMMYFUNCTION("""COMPUTED_VALUE"""),41648.625)</f>
        <v>41648.625</v>
      </c>
      <c r="D8" s="1">
        <f ca="1">IFERROR(__xludf.DUMMYFUNCTION("""COMPUTED_VALUE"""),6775)</f>
        <v>6775</v>
      </c>
    </row>
    <row r="9" spans="1:4" x14ac:dyDescent="0.2">
      <c r="A9" s="2">
        <f ca="1">IFERROR(__xludf.DUMMYFUNCTION("""COMPUTED_VALUE"""),41649.625)</f>
        <v>41649.625</v>
      </c>
      <c r="B9" s="1">
        <f ca="1">IFERROR(__xludf.DUMMYFUNCTION("""COMPUTED_VALUE"""),6725)</f>
        <v>6725</v>
      </c>
      <c r="C9" s="2">
        <f ca="1">IFERROR(__xludf.DUMMYFUNCTION("""COMPUTED_VALUE"""),41649.625)</f>
        <v>41649.625</v>
      </c>
      <c r="D9" s="1">
        <f ca="1">IFERROR(__xludf.DUMMYFUNCTION("""COMPUTED_VALUE"""),6750)</f>
        <v>6750</v>
      </c>
    </row>
    <row r="10" spans="1:4" x14ac:dyDescent="0.2">
      <c r="A10" s="2">
        <f ca="1">IFERROR(__xludf.DUMMYFUNCTION("""COMPUTED_VALUE"""),41652.625)</f>
        <v>41652.625</v>
      </c>
      <c r="B10" s="1">
        <f ca="1">IFERROR(__xludf.DUMMYFUNCTION("""COMPUTED_VALUE"""),6850)</f>
        <v>6850</v>
      </c>
      <c r="C10" s="2">
        <f ca="1">IFERROR(__xludf.DUMMYFUNCTION("""COMPUTED_VALUE"""),41652.625)</f>
        <v>41652.625</v>
      </c>
      <c r="D10" s="1">
        <f ca="1">IFERROR(__xludf.DUMMYFUNCTION("""COMPUTED_VALUE"""),7000)</f>
        <v>7000</v>
      </c>
    </row>
    <row r="11" spans="1:4" x14ac:dyDescent="0.2">
      <c r="A11" s="2">
        <f ca="1">IFERROR(__xludf.DUMMYFUNCTION("""COMPUTED_VALUE"""),41654.625)</f>
        <v>41654.625</v>
      </c>
      <c r="B11" s="1">
        <f ca="1">IFERROR(__xludf.DUMMYFUNCTION("""COMPUTED_VALUE"""),7025)</f>
        <v>7025</v>
      </c>
      <c r="C11" s="2">
        <f ca="1">IFERROR(__xludf.DUMMYFUNCTION("""COMPUTED_VALUE"""),41654.625)</f>
        <v>41654.625</v>
      </c>
      <c r="D11" s="1">
        <f ca="1">IFERROR(__xludf.DUMMYFUNCTION("""COMPUTED_VALUE"""),7300)</f>
        <v>7300</v>
      </c>
    </row>
    <row r="12" spans="1:4" x14ac:dyDescent="0.2">
      <c r="A12" s="2">
        <f ca="1">IFERROR(__xludf.DUMMYFUNCTION("""COMPUTED_VALUE"""),41655.625)</f>
        <v>41655.625</v>
      </c>
      <c r="B12" s="1">
        <f ca="1">IFERROR(__xludf.DUMMYFUNCTION("""COMPUTED_VALUE"""),7325)</f>
        <v>7325</v>
      </c>
      <c r="C12" s="2">
        <f ca="1">IFERROR(__xludf.DUMMYFUNCTION("""COMPUTED_VALUE"""),41655.625)</f>
        <v>41655.625</v>
      </c>
      <c r="D12" s="1">
        <f ca="1">IFERROR(__xludf.DUMMYFUNCTION("""COMPUTED_VALUE"""),7300)</f>
        <v>7300</v>
      </c>
    </row>
    <row r="13" spans="1:4" x14ac:dyDescent="0.2">
      <c r="A13" s="2">
        <f ca="1">IFERROR(__xludf.DUMMYFUNCTION("""COMPUTED_VALUE"""),41656.625)</f>
        <v>41656.625</v>
      </c>
      <c r="B13" s="1">
        <f ca="1">IFERROR(__xludf.DUMMYFUNCTION("""COMPUTED_VALUE"""),7200)</f>
        <v>7200</v>
      </c>
      <c r="C13" s="2">
        <f ca="1">IFERROR(__xludf.DUMMYFUNCTION("""COMPUTED_VALUE"""),41656.625)</f>
        <v>41656.625</v>
      </c>
      <c r="D13" s="1">
        <f ca="1">IFERROR(__xludf.DUMMYFUNCTION("""COMPUTED_VALUE"""),6925)</f>
        <v>6925</v>
      </c>
    </row>
    <row r="14" spans="1:4" x14ac:dyDescent="0.2">
      <c r="A14" s="2">
        <f ca="1">IFERROR(__xludf.DUMMYFUNCTION("""COMPUTED_VALUE"""),41659.625)</f>
        <v>41659.625</v>
      </c>
      <c r="B14" s="1">
        <f ca="1">IFERROR(__xludf.DUMMYFUNCTION("""COMPUTED_VALUE"""),6875)</f>
        <v>6875</v>
      </c>
      <c r="C14" s="2">
        <f ca="1">IFERROR(__xludf.DUMMYFUNCTION("""COMPUTED_VALUE"""),41659.625)</f>
        <v>41659.625</v>
      </c>
      <c r="D14" s="1">
        <f ca="1">IFERROR(__xludf.DUMMYFUNCTION("""COMPUTED_VALUE"""),6825)</f>
        <v>6825</v>
      </c>
    </row>
    <row r="15" spans="1:4" x14ac:dyDescent="0.2">
      <c r="A15" s="2">
        <f ca="1">IFERROR(__xludf.DUMMYFUNCTION("""COMPUTED_VALUE"""),41660.625)</f>
        <v>41660.625</v>
      </c>
      <c r="B15" s="1">
        <f ca="1">IFERROR(__xludf.DUMMYFUNCTION("""COMPUTED_VALUE"""),6900)</f>
        <v>6900</v>
      </c>
      <c r="C15" s="2">
        <f ca="1">IFERROR(__xludf.DUMMYFUNCTION("""COMPUTED_VALUE"""),41660.625)</f>
        <v>41660.625</v>
      </c>
      <c r="D15" s="1">
        <f ca="1">IFERROR(__xludf.DUMMYFUNCTION("""COMPUTED_VALUE"""),6750)</f>
        <v>6750</v>
      </c>
    </row>
    <row r="16" spans="1:4" x14ac:dyDescent="0.2">
      <c r="A16" s="2">
        <f ca="1">IFERROR(__xludf.DUMMYFUNCTION("""COMPUTED_VALUE"""),41661.625)</f>
        <v>41661.625</v>
      </c>
      <c r="B16" s="1">
        <f ca="1">IFERROR(__xludf.DUMMYFUNCTION("""COMPUTED_VALUE"""),6750)</f>
        <v>6750</v>
      </c>
      <c r="C16" s="2">
        <f ca="1">IFERROR(__xludf.DUMMYFUNCTION("""COMPUTED_VALUE"""),41661.625)</f>
        <v>41661.625</v>
      </c>
      <c r="D16" s="1">
        <f ca="1">IFERROR(__xludf.DUMMYFUNCTION("""COMPUTED_VALUE"""),6800)</f>
        <v>6800</v>
      </c>
    </row>
    <row r="17" spans="1:4" x14ac:dyDescent="0.2">
      <c r="A17" s="2">
        <f ca="1">IFERROR(__xludf.DUMMYFUNCTION("""COMPUTED_VALUE"""),41662.625)</f>
        <v>41662.625</v>
      </c>
      <c r="B17" s="1">
        <f ca="1">IFERROR(__xludf.DUMMYFUNCTION("""COMPUTED_VALUE"""),6850)</f>
        <v>6850</v>
      </c>
      <c r="C17" s="2">
        <f ca="1">IFERROR(__xludf.DUMMYFUNCTION("""COMPUTED_VALUE"""),41662.625)</f>
        <v>41662.625</v>
      </c>
      <c r="D17" s="1">
        <f ca="1">IFERROR(__xludf.DUMMYFUNCTION("""COMPUTED_VALUE"""),6800)</f>
        <v>6800</v>
      </c>
    </row>
    <row r="18" spans="1:4" x14ac:dyDescent="0.2">
      <c r="A18" s="2">
        <f ca="1">IFERROR(__xludf.DUMMYFUNCTION("""COMPUTED_VALUE"""),41663.625)</f>
        <v>41663.625</v>
      </c>
      <c r="B18" s="1">
        <f ca="1">IFERROR(__xludf.DUMMYFUNCTION("""COMPUTED_VALUE"""),6525)</f>
        <v>6525</v>
      </c>
      <c r="C18" s="2">
        <f ca="1">IFERROR(__xludf.DUMMYFUNCTION("""COMPUTED_VALUE"""),41663.625)</f>
        <v>41663.625</v>
      </c>
      <c r="D18" s="1">
        <f ca="1">IFERROR(__xludf.DUMMYFUNCTION("""COMPUTED_VALUE"""),6525)</f>
        <v>6525</v>
      </c>
    </row>
    <row r="19" spans="1:4" x14ac:dyDescent="0.2">
      <c r="A19" s="2">
        <f ca="1">IFERROR(__xludf.DUMMYFUNCTION("""COMPUTED_VALUE"""),41666.625)</f>
        <v>41666.625</v>
      </c>
      <c r="B19" s="1">
        <f ca="1">IFERROR(__xludf.DUMMYFUNCTION("""COMPUTED_VALUE"""),6400)</f>
        <v>6400</v>
      </c>
      <c r="C19" s="2">
        <f ca="1">IFERROR(__xludf.DUMMYFUNCTION("""COMPUTED_VALUE"""),41666.625)</f>
        <v>41666.625</v>
      </c>
      <c r="D19" s="1">
        <f ca="1">IFERROR(__xludf.DUMMYFUNCTION("""COMPUTED_VALUE"""),6400)</f>
        <v>6400</v>
      </c>
    </row>
    <row r="20" spans="1:4" x14ac:dyDescent="0.2">
      <c r="A20" s="2">
        <f ca="1">IFERROR(__xludf.DUMMYFUNCTION("""COMPUTED_VALUE"""),41667.625)</f>
        <v>41667.625</v>
      </c>
      <c r="B20" s="1">
        <f ca="1">IFERROR(__xludf.DUMMYFUNCTION("""COMPUTED_VALUE"""),6400)</f>
        <v>6400</v>
      </c>
      <c r="C20" s="2">
        <f ca="1">IFERROR(__xludf.DUMMYFUNCTION("""COMPUTED_VALUE"""),41667.625)</f>
        <v>41667.625</v>
      </c>
      <c r="D20" s="1">
        <f ca="1">IFERROR(__xludf.DUMMYFUNCTION("""COMPUTED_VALUE"""),6375)</f>
        <v>6375</v>
      </c>
    </row>
    <row r="21" spans="1:4" x14ac:dyDescent="0.2">
      <c r="A21" s="2">
        <f ca="1">IFERROR(__xludf.DUMMYFUNCTION("""COMPUTED_VALUE"""),41668.625)</f>
        <v>41668.625</v>
      </c>
      <c r="B21" s="1">
        <f ca="1">IFERROR(__xludf.DUMMYFUNCTION("""COMPUTED_VALUE"""),6425)</f>
        <v>6425</v>
      </c>
      <c r="C21" s="2">
        <f ca="1">IFERROR(__xludf.DUMMYFUNCTION("""COMPUTED_VALUE"""),41668.625)</f>
        <v>41668.625</v>
      </c>
      <c r="D21" s="1">
        <f ca="1">IFERROR(__xludf.DUMMYFUNCTION("""COMPUTED_VALUE"""),6425)</f>
        <v>6425</v>
      </c>
    </row>
    <row r="22" spans="1:4" x14ac:dyDescent="0.2">
      <c r="A22" s="2">
        <f ca="1">IFERROR(__xludf.DUMMYFUNCTION("""COMPUTED_VALUE"""),41669.625)</f>
        <v>41669.625</v>
      </c>
      <c r="B22" s="1">
        <f ca="1">IFERROR(__xludf.DUMMYFUNCTION("""COMPUTED_VALUE"""),6350)</f>
        <v>6350</v>
      </c>
      <c r="C22" s="2">
        <f ca="1">IFERROR(__xludf.DUMMYFUNCTION("""COMPUTED_VALUE"""),41669.625)</f>
        <v>41669.625</v>
      </c>
      <c r="D22" s="1">
        <f ca="1">IFERROR(__xludf.DUMMYFUNCTION("""COMPUTED_VALUE"""),6425)</f>
        <v>6425</v>
      </c>
    </row>
    <row r="23" spans="1:4" x14ac:dyDescent="0.2">
      <c r="A23" s="2">
        <f ca="1">IFERROR(__xludf.DUMMYFUNCTION("""COMPUTED_VALUE"""),41673.625)</f>
        <v>41673.625</v>
      </c>
      <c r="B23" s="1">
        <f ca="1">IFERROR(__xludf.DUMMYFUNCTION("""COMPUTED_VALUE"""),6400)</f>
        <v>6400</v>
      </c>
      <c r="C23" s="2">
        <f ca="1">IFERROR(__xludf.DUMMYFUNCTION("""COMPUTED_VALUE"""),41673.625)</f>
        <v>41673.625</v>
      </c>
      <c r="D23" s="1">
        <f ca="1">IFERROR(__xludf.DUMMYFUNCTION("""COMPUTED_VALUE"""),6350)</f>
        <v>6350</v>
      </c>
    </row>
    <row r="24" spans="1:4" x14ac:dyDescent="0.2">
      <c r="A24" s="2">
        <f ca="1">IFERROR(__xludf.DUMMYFUNCTION("""COMPUTED_VALUE"""),41674.625)</f>
        <v>41674.625</v>
      </c>
      <c r="B24" s="1">
        <f ca="1">IFERROR(__xludf.DUMMYFUNCTION("""COMPUTED_VALUE"""),6250)</f>
        <v>6250</v>
      </c>
      <c r="C24" s="2">
        <f ca="1">IFERROR(__xludf.DUMMYFUNCTION("""COMPUTED_VALUE"""),41674.625)</f>
        <v>41674.625</v>
      </c>
      <c r="D24" s="1">
        <f ca="1">IFERROR(__xludf.DUMMYFUNCTION("""COMPUTED_VALUE"""),6250)</f>
        <v>6250</v>
      </c>
    </row>
    <row r="25" spans="1:4" x14ac:dyDescent="0.2">
      <c r="A25" s="2">
        <f ca="1">IFERROR(__xludf.DUMMYFUNCTION("""COMPUTED_VALUE"""),41675.625)</f>
        <v>41675.625</v>
      </c>
      <c r="B25" s="1">
        <f ca="1">IFERROR(__xludf.DUMMYFUNCTION("""COMPUTED_VALUE"""),6300)</f>
        <v>6300</v>
      </c>
      <c r="C25" s="2">
        <f ca="1">IFERROR(__xludf.DUMMYFUNCTION("""COMPUTED_VALUE"""),41675.625)</f>
        <v>41675.625</v>
      </c>
      <c r="D25" s="1">
        <f ca="1">IFERROR(__xludf.DUMMYFUNCTION("""COMPUTED_VALUE"""),6375)</f>
        <v>6375</v>
      </c>
    </row>
    <row r="26" spans="1:4" x14ac:dyDescent="0.2">
      <c r="A26" s="2">
        <f ca="1">IFERROR(__xludf.DUMMYFUNCTION("""COMPUTED_VALUE"""),41676.625)</f>
        <v>41676.625</v>
      </c>
      <c r="B26" s="1">
        <f ca="1">IFERROR(__xludf.DUMMYFUNCTION("""COMPUTED_VALUE"""),6375)</f>
        <v>6375</v>
      </c>
      <c r="C26" s="2">
        <f ca="1">IFERROR(__xludf.DUMMYFUNCTION("""COMPUTED_VALUE"""),41676.625)</f>
        <v>41676.625</v>
      </c>
      <c r="D26" s="1">
        <f ca="1">IFERROR(__xludf.DUMMYFUNCTION("""COMPUTED_VALUE"""),6400)</f>
        <v>6400</v>
      </c>
    </row>
    <row r="27" spans="1:4" x14ac:dyDescent="0.2">
      <c r="A27" s="2">
        <f ca="1">IFERROR(__xludf.DUMMYFUNCTION("""COMPUTED_VALUE"""),41677.625)</f>
        <v>41677.625</v>
      </c>
      <c r="B27" s="1">
        <f ca="1">IFERROR(__xludf.DUMMYFUNCTION("""COMPUTED_VALUE"""),6450)</f>
        <v>6450</v>
      </c>
      <c r="C27" s="2">
        <f ca="1">IFERROR(__xludf.DUMMYFUNCTION("""COMPUTED_VALUE"""),41677.625)</f>
        <v>41677.625</v>
      </c>
      <c r="D27" s="1">
        <f ca="1">IFERROR(__xludf.DUMMYFUNCTION("""COMPUTED_VALUE"""),6525)</f>
        <v>6525</v>
      </c>
    </row>
    <row r="28" spans="1:4" x14ac:dyDescent="0.2">
      <c r="A28" s="2">
        <f ca="1">IFERROR(__xludf.DUMMYFUNCTION("""COMPUTED_VALUE"""),41680.625)</f>
        <v>41680.625</v>
      </c>
      <c r="B28" s="1">
        <f ca="1">IFERROR(__xludf.DUMMYFUNCTION("""COMPUTED_VALUE"""),6575)</f>
        <v>6575</v>
      </c>
      <c r="C28" s="2">
        <f ca="1">IFERROR(__xludf.DUMMYFUNCTION("""COMPUTED_VALUE"""),41680.625)</f>
        <v>41680.625</v>
      </c>
      <c r="D28" s="1">
        <f ca="1">IFERROR(__xludf.DUMMYFUNCTION("""COMPUTED_VALUE"""),6500)</f>
        <v>6500</v>
      </c>
    </row>
    <row r="29" spans="1:4" x14ac:dyDescent="0.2">
      <c r="A29" s="2">
        <f ca="1">IFERROR(__xludf.DUMMYFUNCTION("""COMPUTED_VALUE"""),41681.625)</f>
        <v>41681.625</v>
      </c>
      <c r="B29" s="1">
        <f ca="1">IFERROR(__xludf.DUMMYFUNCTION("""COMPUTED_VALUE"""),6500)</f>
        <v>6500</v>
      </c>
      <c r="C29" s="2">
        <f ca="1">IFERROR(__xludf.DUMMYFUNCTION("""COMPUTED_VALUE"""),41681.625)</f>
        <v>41681.625</v>
      </c>
      <c r="D29" s="1">
        <f ca="1">IFERROR(__xludf.DUMMYFUNCTION("""COMPUTED_VALUE"""),6575)</f>
        <v>6575</v>
      </c>
    </row>
    <row r="30" spans="1:4" x14ac:dyDescent="0.2">
      <c r="A30" s="2">
        <f ca="1">IFERROR(__xludf.DUMMYFUNCTION("""COMPUTED_VALUE"""),41682.625)</f>
        <v>41682.625</v>
      </c>
      <c r="B30" s="1">
        <f ca="1">IFERROR(__xludf.DUMMYFUNCTION("""COMPUTED_VALUE"""),6625)</f>
        <v>6625</v>
      </c>
      <c r="C30" s="2">
        <f ca="1">IFERROR(__xludf.DUMMYFUNCTION("""COMPUTED_VALUE"""),41682.625)</f>
        <v>41682.625</v>
      </c>
      <c r="D30" s="1">
        <f ca="1">IFERROR(__xludf.DUMMYFUNCTION("""COMPUTED_VALUE"""),6650)</f>
        <v>6650</v>
      </c>
    </row>
    <row r="31" spans="1:4" x14ac:dyDescent="0.2">
      <c r="A31" s="2">
        <f ca="1">IFERROR(__xludf.DUMMYFUNCTION("""COMPUTED_VALUE"""),41683.625)</f>
        <v>41683.625</v>
      </c>
      <c r="B31" s="1">
        <f ca="1">IFERROR(__xludf.DUMMYFUNCTION("""COMPUTED_VALUE"""),6575)</f>
        <v>6575</v>
      </c>
      <c r="C31" s="2">
        <f ca="1">IFERROR(__xludf.DUMMYFUNCTION("""COMPUTED_VALUE"""),41683.625)</f>
        <v>41683.625</v>
      </c>
      <c r="D31" s="1">
        <f ca="1">IFERROR(__xludf.DUMMYFUNCTION("""COMPUTED_VALUE"""),6650)</f>
        <v>6650</v>
      </c>
    </row>
    <row r="32" spans="1:4" x14ac:dyDescent="0.2">
      <c r="A32" s="2">
        <f ca="1">IFERROR(__xludf.DUMMYFUNCTION("""COMPUTED_VALUE"""),41684.625)</f>
        <v>41684.625</v>
      </c>
      <c r="B32" s="1">
        <f ca="1">IFERROR(__xludf.DUMMYFUNCTION("""COMPUTED_VALUE"""),6675)</f>
        <v>6675</v>
      </c>
      <c r="C32" s="2">
        <f ca="1">IFERROR(__xludf.DUMMYFUNCTION("""COMPUTED_VALUE"""),41684.625)</f>
        <v>41684.625</v>
      </c>
      <c r="D32" s="1">
        <f ca="1">IFERROR(__xludf.DUMMYFUNCTION("""COMPUTED_VALUE"""),6700)</f>
        <v>6700</v>
      </c>
    </row>
    <row r="33" spans="1:4" x14ac:dyDescent="0.2">
      <c r="A33" s="2">
        <f ca="1">IFERROR(__xludf.DUMMYFUNCTION("""COMPUTED_VALUE"""),41687.625)</f>
        <v>41687.625</v>
      </c>
      <c r="B33" s="1">
        <f ca="1">IFERROR(__xludf.DUMMYFUNCTION("""COMPUTED_VALUE"""),6750)</f>
        <v>6750</v>
      </c>
      <c r="C33" s="2">
        <f ca="1">IFERROR(__xludf.DUMMYFUNCTION("""COMPUTED_VALUE"""),41687.625)</f>
        <v>41687.625</v>
      </c>
      <c r="D33" s="1">
        <f ca="1">IFERROR(__xludf.DUMMYFUNCTION("""COMPUTED_VALUE"""),6825)</f>
        <v>6825</v>
      </c>
    </row>
    <row r="34" spans="1:4" x14ac:dyDescent="0.2">
      <c r="A34" s="2">
        <f ca="1">IFERROR(__xludf.DUMMYFUNCTION("""COMPUTED_VALUE"""),41688.625)</f>
        <v>41688.625</v>
      </c>
      <c r="B34" s="1">
        <f ca="1">IFERROR(__xludf.DUMMYFUNCTION("""COMPUTED_VALUE"""),6775)</f>
        <v>6775</v>
      </c>
      <c r="C34" s="2">
        <f ca="1">IFERROR(__xludf.DUMMYFUNCTION("""COMPUTED_VALUE"""),41688.625)</f>
        <v>41688.625</v>
      </c>
      <c r="D34" s="1">
        <f ca="1">IFERROR(__xludf.DUMMYFUNCTION("""COMPUTED_VALUE"""),6800)</f>
        <v>6800</v>
      </c>
    </row>
    <row r="35" spans="1:4" x14ac:dyDescent="0.2">
      <c r="A35" s="2">
        <f ca="1">IFERROR(__xludf.DUMMYFUNCTION("""COMPUTED_VALUE"""),41689.625)</f>
        <v>41689.625</v>
      </c>
      <c r="B35" s="1">
        <f ca="1">IFERROR(__xludf.DUMMYFUNCTION("""COMPUTED_VALUE"""),6750)</f>
        <v>6750</v>
      </c>
      <c r="C35" s="2">
        <f ca="1">IFERROR(__xludf.DUMMYFUNCTION("""COMPUTED_VALUE"""),41689.625)</f>
        <v>41689.625</v>
      </c>
      <c r="D35" s="1">
        <f ca="1">IFERROR(__xludf.DUMMYFUNCTION("""COMPUTED_VALUE"""),6950)</f>
        <v>6950</v>
      </c>
    </row>
    <row r="36" spans="1:4" x14ac:dyDescent="0.2">
      <c r="A36" s="2">
        <f ca="1">IFERROR(__xludf.DUMMYFUNCTION("""COMPUTED_VALUE"""),41690.625)</f>
        <v>41690.625</v>
      </c>
      <c r="B36" s="1">
        <f ca="1">IFERROR(__xludf.DUMMYFUNCTION("""COMPUTED_VALUE"""),6875)</f>
        <v>6875</v>
      </c>
      <c r="C36" s="2">
        <f ca="1">IFERROR(__xludf.DUMMYFUNCTION("""COMPUTED_VALUE"""),41690.625)</f>
        <v>41690.625</v>
      </c>
      <c r="D36" s="1">
        <f ca="1">IFERROR(__xludf.DUMMYFUNCTION("""COMPUTED_VALUE"""),6900)</f>
        <v>6900</v>
      </c>
    </row>
    <row r="37" spans="1:4" x14ac:dyDescent="0.2">
      <c r="A37" s="2">
        <f ca="1">IFERROR(__xludf.DUMMYFUNCTION("""COMPUTED_VALUE"""),41691.625)</f>
        <v>41691.625</v>
      </c>
      <c r="B37" s="1">
        <f ca="1">IFERROR(__xludf.DUMMYFUNCTION("""COMPUTED_VALUE"""),6950)</f>
        <v>6950</v>
      </c>
      <c r="C37" s="2">
        <f ca="1">IFERROR(__xludf.DUMMYFUNCTION("""COMPUTED_VALUE"""),41691.625)</f>
        <v>41691.625</v>
      </c>
      <c r="D37" s="1">
        <f ca="1">IFERROR(__xludf.DUMMYFUNCTION("""COMPUTED_VALUE"""),6975)</f>
        <v>6975</v>
      </c>
    </row>
    <row r="38" spans="1:4" x14ac:dyDescent="0.2">
      <c r="A38" s="2">
        <f ca="1">IFERROR(__xludf.DUMMYFUNCTION("""COMPUTED_VALUE"""),41694.625)</f>
        <v>41694.625</v>
      </c>
      <c r="B38" s="1">
        <f ca="1">IFERROR(__xludf.DUMMYFUNCTION("""COMPUTED_VALUE"""),6975)</f>
        <v>6975</v>
      </c>
      <c r="C38" s="2">
        <f ca="1">IFERROR(__xludf.DUMMYFUNCTION("""COMPUTED_VALUE"""),41694.625)</f>
        <v>41694.625</v>
      </c>
      <c r="D38" s="1">
        <f ca="1">IFERROR(__xludf.DUMMYFUNCTION("""COMPUTED_VALUE"""),6775)</f>
        <v>6775</v>
      </c>
    </row>
    <row r="39" spans="1:4" x14ac:dyDescent="0.2">
      <c r="A39" s="2">
        <f ca="1">IFERROR(__xludf.DUMMYFUNCTION("""COMPUTED_VALUE"""),41695.625)</f>
        <v>41695.625</v>
      </c>
      <c r="B39" s="1">
        <f ca="1">IFERROR(__xludf.DUMMYFUNCTION("""COMPUTED_VALUE"""),6800)</f>
        <v>6800</v>
      </c>
      <c r="C39" s="2">
        <f ca="1">IFERROR(__xludf.DUMMYFUNCTION("""COMPUTED_VALUE"""),41695.625)</f>
        <v>41695.625</v>
      </c>
      <c r="D39" s="1">
        <f ca="1">IFERROR(__xludf.DUMMYFUNCTION("""COMPUTED_VALUE"""),6700)</f>
        <v>6700</v>
      </c>
    </row>
    <row r="40" spans="1:4" x14ac:dyDescent="0.2">
      <c r="A40" s="2">
        <f ca="1">IFERROR(__xludf.DUMMYFUNCTION("""COMPUTED_VALUE"""),41696.625)</f>
        <v>41696.625</v>
      </c>
      <c r="B40" s="1">
        <f ca="1">IFERROR(__xludf.DUMMYFUNCTION("""COMPUTED_VALUE"""),6625)</f>
        <v>6625</v>
      </c>
      <c r="C40" s="2">
        <f ca="1">IFERROR(__xludf.DUMMYFUNCTION("""COMPUTED_VALUE"""),41696.625)</f>
        <v>41696.625</v>
      </c>
      <c r="D40" s="1">
        <f ca="1">IFERROR(__xludf.DUMMYFUNCTION("""COMPUTED_VALUE"""),6550)</f>
        <v>6550</v>
      </c>
    </row>
    <row r="41" spans="1:4" x14ac:dyDescent="0.2">
      <c r="A41" s="2">
        <f ca="1">IFERROR(__xludf.DUMMYFUNCTION("""COMPUTED_VALUE"""),41697.625)</f>
        <v>41697.625</v>
      </c>
      <c r="B41" s="1">
        <f ca="1">IFERROR(__xludf.DUMMYFUNCTION("""COMPUTED_VALUE"""),6550)</f>
        <v>6550</v>
      </c>
      <c r="C41" s="2">
        <f ca="1">IFERROR(__xludf.DUMMYFUNCTION("""COMPUTED_VALUE"""),41697.625)</f>
        <v>41697.625</v>
      </c>
      <c r="D41" s="1">
        <f ca="1">IFERROR(__xludf.DUMMYFUNCTION("""COMPUTED_VALUE"""),6700)</f>
        <v>6700</v>
      </c>
    </row>
    <row r="42" spans="1:4" x14ac:dyDescent="0.2">
      <c r="A42" s="2">
        <f ca="1">IFERROR(__xludf.DUMMYFUNCTION("""COMPUTED_VALUE"""),41698.625)</f>
        <v>41698.625</v>
      </c>
      <c r="B42" s="1">
        <f ca="1">IFERROR(__xludf.DUMMYFUNCTION("""COMPUTED_VALUE"""),6775)</f>
        <v>6775</v>
      </c>
      <c r="C42" s="2">
        <f ca="1">IFERROR(__xludf.DUMMYFUNCTION("""COMPUTED_VALUE"""),41698.625)</f>
        <v>41698.625</v>
      </c>
      <c r="D42" s="1">
        <f ca="1">IFERROR(__xludf.DUMMYFUNCTION("""COMPUTED_VALUE"""),6950)</f>
        <v>6950</v>
      </c>
    </row>
    <row r="43" spans="1:4" x14ac:dyDescent="0.2">
      <c r="A43" s="2">
        <f ca="1">IFERROR(__xludf.DUMMYFUNCTION("""COMPUTED_VALUE"""),41701.625)</f>
        <v>41701.625</v>
      </c>
      <c r="B43" s="1">
        <f ca="1">IFERROR(__xludf.DUMMYFUNCTION("""COMPUTED_VALUE"""),6850)</f>
        <v>6850</v>
      </c>
      <c r="C43" s="2">
        <f ca="1">IFERROR(__xludf.DUMMYFUNCTION("""COMPUTED_VALUE"""),41701.625)</f>
        <v>41701.625</v>
      </c>
      <c r="D43" s="1">
        <f ca="1">IFERROR(__xludf.DUMMYFUNCTION("""COMPUTED_VALUE"""),6800)</f>
        <v>6800</v>
      </c>
    </row>
    <row r="44" spans="1:4" x14ac:dyDescent="0.2">
      <c r="A44" s="2">
        <f ca="1">IFERROR(__xludf.DUMMYFUNCTION("""COMPUTED_VALUE"""),41702.625)</f>
        <v>41702.625</v>
      </c>
      <c r="B44" s="1">
        <f ca="1">IFERROR(__xludf.DUMMYFUNCTION("""COMPUTED_VALUE"""),6850)</f>
        <v>6850</v>
      </c>
      <c r="C44" s="2">
        <f ca="1">IFERROR(__xludf.DUMMYFUNCTION("""COMPUTED_VALUE"""),41702.625)</f>
        <v>41702.625</v>
      </c>
      <c r="D44" s="1">
        <f ca="1">IFERROR(__xludf.DUMMYFUNCTION("""COMPUTED_VALUE"""),6825)</f>
        <v>6825</v>
      </c>
    </row>
    <row r="45" spans="1:4" x14ac:dyDescent="0.2">
      <c r="A45" s="2">
        <f ca="1">IFERROR(__xludf.DUMMYFUNCTION("""COMPUTED_VALUE"""),41703.625)</f>
        <v>41703.625</v>
      </c>
      <c r="B45" s="1">
        <f ca="1">IFERROR(__xludf.DUMMYFUNCTION("""COMPUTED_VALUE"""),6875)</f>
        <v>6875</v>
      </c>
      <c r="C45" s="2">
        <f ca="1">IFERROR(__xludf.DUMMYFUNCTION("""COMPUTED_VALUE"""),41703.625)</f>
        <v>41703.625</v>
      </c>
      <c r="D45" s="1">
        <f ca="1">IFERROR(__xludf.DUMMYFUNCTION("""COMPUTED_VALUE"""),7025)</f>
        <v>7025</v>
      </c>
    </row>
    <row r="46" spans="1:4" x14ac:dyDescent="0.2">
      <c r="A46" s="2">
        <f ca="1">IFERROR(__xludf.DUMMYFUNCTION("""COMPUTED_VALUE"""),41704.625)</f>
        <v>41704.625</v>
      </c>
      <c r="B46" s="1">
        <f ca="1">IFERROR(__xludf.DUMMYFUNCTION("""COMPUTED_VALUE"""),7050)</f>
        <v>7050</v>
      </c>
      <c r="C46" s="2">
        <f ca="1">IFERROR(__xludf.DUMMYFUNCTION("""COMPUTED_VALUE"""),41704.625)</f>
        <v>41704.625</v>
      </c>
      <c r="D46" s="1">
        <f ca="1">IFERROR(__xludf.DUMMYFUNCTION("""COMPUTED_VALUE"""),7025)</f>
        <v>7025</v>
      </c>
    </row>
    <row r="47" spans="1:4" x14ac:dyDescent="0.2">
      <c r="A47" s="2">
        <f ca="1">IFERROR(__xludf.DUMMYFUNCTION("""COMPUTED_VALUE"""),41705.625)</f>
        <v>41705.625</v>
      </c>
      <c r="B47" s="1">
        <f ca="1">IFERROR(__xludf.DUMMYFUNCTION("""COMPUTED_VALUE"""),7100)</f>
        <v>7100</v>
      </c>
      <c r="C47" s="2">
        <f ca="1">IFERROR(__xludf.DUMMYFUNCTION("""COMPUTED_VALUE"""),41705.625)</f>
        <v>41705.625</v>
      </c>
      <c r="D47" s="1">
        <f ca="1">IFERROR(__xludf.DUMMYFUNCTION("""COMPUTED_VALUE"""),7000)</f>
        <v>7000</v>
      </c>
    </row>
    <row r="48" spans="1:4" x14ac:dyDescent="0.2">
      <c r="A48" s="2">
        <f ca="1">IFERROR(__xludf.DUMMYFUNCTION("""COMPUTED_VALUE"""),41708.625)</f>
        <v>41708.625</v>
      </c>
      <c r="B48" s="1">
        <f ca="1">IFERROR(__xludf.DUMMYFUNCTION("""COMPUTED_VALUE"""),6950)</f>
        <v>6950</v>
      </c>
      <c r="C48" s="2">
        <f ca="1">IFERROR(__xludf.DUMMYFUNCTION("""COMPUTED_VALUE"""),41708.625)</f>
        <v>41708.625</v>
      </c>
      <c r="D48" s="1">
        <f ca="1">IFERROR(__xludf.DUMMYFUNCTION("""COMPUTED_VALUE"""),7275)</f>
        <v>7275</v>
      </c>
    </row>
    <row r="49" spans="1:4" x14ac:dyDescent="0.2">
      <c r="A49" s="2">
        <f ca="1">IFERROR(__xludf.DUMMYFUNCTION("""COMPUTED_VALUE"""),41709.625)</f>
        <v>41709.625</v>
      </c>
      <c r="B49" s="1">
        <f ca="1">IFERROR(__xludf.DUMMYFUNCTION("""COMPUTED_VALUE"""),7250)</f>
        <v>7250</v>
      </c>
      <c r="C49" s="2">
        <f ca="1">IFERROR(__xludf.DUMMYFUNCTION("""COMPUTED_VALUE"""),41709.625)</f>
        <v>41709.625</v>
      </c>
      <c r="D49" s="1">
        <f ca="1">IFERROR(__xludf.DUMMYFUNCTION("""COMPUTED_VALUE"""),7250)</f>
        <v>7250</v>
      </c>
    </row>
    <row r="50" spans="1:4" x14ac:dyDescent="0.2">
      <c r="A50" s="2">
        <f ca="1">IFERROR(__xludf.DUMMYFUNCTION("""COMPUTED_VALUE"""),41710.625)</f>
        <v>41710.625</v>
      </c>
      <c r="B50" s="1">
        <f ca="1">IFERROR(__xludf.DUMMYFUNCTION("""COMPUTED_VALUE"""),7200)</f>
        <v>7200</v>
      </c>
      <c r="C50" s="2">
        <f ca="1">IFERROR(__xludf.DUMMYFUNCTION("""COMPUTED_VALUE"""),41710.625)</f>
        <v>41710.625</v>
      </c>
      <c r="D50" s="1">
        <f ca="1">IFERROR(__xludf.DUMMYFUNCTION("""COMPUTED_VALUE"""),7225)</f>
        <v>7225</v>
      </c>
    </row>
    <row r="51" spans="1:4" x14ac:dyDescent="0.2">
      <c r="A51" s="2">
        <f ca="1">IFERROR(__xludf.DUMMYFUNCTION("""COMPUTED_VALUE"""),41711.625)</f>
        <v>41711.625</v>
      </c>
      <c r="B51" s="1">
        <f ca="1">IFERROR(__xludf.DUMMYFUNCTION("""COMPUTED_VALUE"""),7275)</f>
        <v>7275</v>
      </c>
      <c r="C51" s="2">
        <f ca="1">IFERROR(__xludf.DUMMYFUNCTION("""COMPUTED_VALUE"""),41711.625)</f>
        <v>41711.625</v>
      </c>
      <c r="D51" s="1">
        <f ca="1">IFERROR(__xludf.DUMMYFUNCTION("""COMPUTED_VALUE"""),7275)</f>
        <v>7275</v>
      </c>
    </row>
    <row r="52" spans="1:4" x14ac:dyDescent="0.2">
      <c r="A52" s="2">
        <f ca="1">IFERROR(__xludf.DUMMYFUNCTION("""COMPUTED_VALUE"""),41712.625)</f>
        <v>41712.625</v>
      </c>
      <c r="B52" s="1">
        <f ca="1">IFERROR(__xludf.DUMMYFUNCTION("""COMPUTED_VALUE"""),7200)</f>
        <v>7200</v>
      </c>
      <c r="C52" s="2">
        <f ca="1">IFERROR(__xludf.DUMMYFUNCTION("""COMPUTED_VALUE"""),41712.625)</f>
        <v>41712.625</v>
      </c>
      <c r="D52" s="1">
        <f ca="1">IFERROR(__xludf.DUMMYFUNCTION("""COMPUTED_VALUE"""),7800)</f>
        <v>7800</v>
      </c>
    </row>
    <row r="53" spans="1:4" x14ac:dyDescent="0.2">
      <c r="A53" s="2">
        <f ca="1">IFERROR(__xludf.DUMMYFUNCTION("""COMPUTED_VALUE"""),41716.625)</f>
        <v>41716.625</v>
      </c>
      <c r="B53" s="1">
        <f ca="1">IFERROR(__xludf.DUMMYFUNCTION("""COMPUTED_VALUE"""),7900)</f>
        <v>7900</v>
      </c>
      <c r="C53" s="2">
        <f ca="1">IFERROR(__xludf.DUMMYFUNCTION("""COMPUTED_VALUE"""),41716.625)</f>
        <v>41716.625</v>
      </c>
      <c r="D53" s="1">
        <f ca="1">IFERROR(__xludf.DUMMYFUNCTION("""COMPUTED_VALUE"""),7700)</f>
        <v>7700</v>
      </c>
    </row>
    <row r="54" spans="1:4" x14ac:dyDescent="0.2">
      <c r="A54" s="2">
        <f ca="1">IFERROR(__xludf.DUMMYFUNCTION("""COMPUTED_VALUE"""),41717.625)</f>
        <v>41717.625</v>
      </c>
      <c r="B54" s="1">
        <f ca="1">IFERROR(__xludf.DUMMYFUNCTION("""COMPUTED_VALUE"""),7750)</f>
        <v>7750</v>
      </c>
      <c r="C54" s="2">
        <f ca="1">IFERROR(__xludf.DUMMYFUNCTION("""COMPUTED_VALUE"""),41717.625)</f>
        <v>41717.625</v>
      </c>
      <c r="D54" s="1">
        <f ca="1">IFERROR(__xludf.DUMMYFUNCTION("""COMPUTED_VALUE"""),7875)</f>
        <v>7875</v>
      </c>
    </row>
    <row r="55" spans="1:4" x14ac:dyDescent="0.2">
      <c r="A55" s="2">
        <f ca="1">IFERROR(__xludf.DUMMYFUNCTION("""COMPUTED_VALUE"""),41718.625)</f>
        <v>41718.625</v>
      </c>
      <c r="B55" s="1">
        <f ca="1">IFERROR(__xludf.DUMMYFUNCTION("""COMPUTED_VALUE"""),7850)</f>
        <v>7850</v>
      </c>
      <c r="C55" s="2">
        <f ca="1">IFERROR(__xludf.DUMMYFUNCTION("""COMPUTED_VALUE"""),41718.625)</f>
        <v>41718.625</v>
      </c>
      <c r="D55" s="1">
        <f ca="1">IFERROR(__xludf.DUMMYFUNCTION("""COMPUTED_VALUE"""),7550)</f>
        <v>7550</v>
      </c>
    </row>
    <row r="56" spans="1:4" x14ac:dyDescent="0.2">
      <c r="A56" s="2">
        <f ca="1">IFERROR(__xludf.DUMMYFUNCTION("""COMPUTED_VALUE"""),41719.625)</f>
        <v>41719.625</v>
      </c>
      <c r="B56" s="1">
        <f ca="1">IFERROR(__xludf.DUMMYFUNCTION("""COMPUTED_VALUE"""),7600)</f>
        <v>7600</v>
      </c>
      <c r="C56" s="2">
        <f ca="1">IFERROR(__xludf.DUMMYFUNCTION("""COMPUTED_VALUE"""),41719.625)</f>
        <v>41719.625</v>
      </c>
      <c r="D56" s="1">
        <f ca="1">IFERROR(__xludf.DUMMYFUNCTION("""COMPUTED_VALUE"""),7350)</f>
        <v>7350</v>
      </c>
    </row>
    <row r="57" spans="1:4" x14ac:dyDescent="0.2">
      <c r="A57" s="2">
        <f ca="1">IFERROR(__xludf.DUMMYFUNCTION("""COMPUTED_VALUE"""),41722.625)</f>
        <v>41722.625</v>
      </c>
      <c r="B57" s="1">
        <f ca="1">IFERROR(__xludf.DUMMYFUNCTION("""COMPUTED_VALUE"""),7400)</f>
        <v>7400</v>
      </c>
      <c r="C57" s="2">
        <f ca="1">IFERROR(__xludf.DUMMYFUNCTION("""COMPUTED_VALUE"""),41722.625)</f>
        <v>41722.625</v>
      </c>
      <c r="D57" s="1">
        <f ca="1">IFERROR(__xludf.DUMMYFUNCTION("""COMPUTED_VALUE"""),7275)</f>
        <v>7275</v>
      </c>
    </row>
    <row r="58" spans="1:4" x14ac:dyDescent="0.2">
      <c r="A58" s="2">
        <f ca="1">IFERROR(__xludf.DUMMYFUNCTION("""COMPUTED_VALUE"""),41723.625)</f>
        <v>41723.625</v>
      </c>
      <c r="B58" s="1">
        <f ca="1">IFERROR(__xludf.DUMMYFUNCTION("""COMPUTED_VALUE"""),7200)</f>
        <v>7200</v>
      </c>
      <c r="C58" s="2">
        <f ca="1">IFERROR(__xludf.DUMMYFUNCTION("""COMPUTED_VALUE"""),41723.625)</f>
        <v>41723.625</v>
      </c>
      <c r="D58" s="1">
        <f ca="1">IFERROR(__xludf.DUMMYFUNCTION("""COMPUTED_VALUE"""),7250)</f>
        <v>7250</v>
      </c>
    </row>
    <row r="59" spans="1:4" x14ac:dyDescent="0.2">
      <c r="A59" s="2">
        <f ca="1">IFERROR(__xludf.DUMMYFUNCTION("""COMPUTED_VALUE"""),41724.625)</f>
        <v>41724.625</v>
      </c>
      <c r="B59" s="1">
        <f ca="1">IFERROR(__xludf.DUMMYFUNCTION("""COMPUTED_VALUE"""),7350)</f>
        <v>7350</v>
      </c>
      <c r="C59" s="2">
        <f ca="1">IFERROR(__xludf.DUMMYFUNCTION("""COMPUTED_VALUE"""),41724.625)</f>
        <v>41724.625</v>
      </c>
      <c r="D59" s="1">
        <f ca="1">IFERROR(__xludf.DUMMYFUNCTION("""COMPUTED_VALUE"""),7300)</f>
        <v>7300</v>
      </c>
    </row>
    <row r="60" spans="1:4" x14ac:dyDescent="0.2">
      <c r="A60" s="2">
        <f ca="1">IFERROR(__xludf.DUMMYFUNCTION("""COMPUTED_VALUE"""),41725.625)</f>
        <v>41725.625</v>
      </c>
      <c r="B60" s="1">
        <f ca="1">IFERROR(__xludf.DUMMYFUNCTION("""COMPUTED_VALUE"""),7225)</f>
        <v>7225</v>
      </c>
      <c r="C60" s="2">
        <f ca="1">IFERROR(__xludf.DUMMYFUNCTION("""COMPUTED_VALUE"""),41725.625)</f>
        <v>41725.625</v>
      </c>
      <c r="D60" s="1">
        <f ca="1">IFERROR(__xludf.DUMMYFUNCTION("""COMPUTED_VALUE"""),7250)</f>
        <v>7250</v>
      </c>
    </row>
    <row r="61" spans="1:4" x14ac:dyDescent="0.2">
      <c r="A61" s="2">
        <f ca="1">IFERROR(__xludf.DUMMYFUNCTION("""COMPUTED_VALUE"""),41726.625)</f>
        <v>41726.625</v>
      </c>
      <c r="B61" s="1">
        <f ca="1">IFERROR(__xludf.DUMMYFUNCTION("""COMPUTED_VALUE"""),7275)</f>
        <v>7275</v>
      </c>
      <c r="C61" s="2">
        <f ca="1">IFERROR(__xludf.DUMMYFUNCTION("""COMPUTED_VALUE"""),41726.625)</f>
        <v>41726.625</v>
      </c>
      <c r="D61" s="1">
        <f ca="1">IFERROR(__xludf.DUMMYFUNCTION("""COMPUTED_VALUE"""),7375)</f>
        <v>7375</v>
      </c>
    </row>
    <row r="62" spans="1:4" x14ac:dyDescent="0.2">
      <c r="A62" s="2">
        <f ca="1">IFERROR(__xludf.DUMMYFUNCTION("""COMPUTED_VALUE"""),41730.625)</f>
        <v>41730.625</v>
      </c>
      <c r="B62" s="1">
        <f ca="1">IFERROR(__xludf.DUMMYFUNCTION("""COMPUTED_VALUE"""),7500)</f>
        <v>7500</v>
      </c>
      <c r="C62" s="2">
        <f ca="1">IFERROR(__xludf.DUMMYFUNCTION("""COMPUTED_VALUE"""),41730.625)</f>
        <v>41730.625</v>
      </c>
      <c r="D62" s="1">
        <f ca="1">IFERROR(__xludf.DUMMYFUNCTION("""COMPUTED_VALUE"""),7675)</f>
        <v>7675</v>
      </c>
    </row>
    <row r="63" spans="1:4" x14ac:dyDescent="0.2">
      <c r="A63" s="2">
        <f ca="1">IFERROR(__xludf.DUMMYFUNCTION("""COMPUTED_VALUE"""),41731.625)</f>
        <v>41731.625</v>
      </c>
      <c r="B63" s="1">
        <f ca="1">IFERROR(__xludf.DUMMYFUNCTION("""COMPUTED_VALUE"""),7700)</f>
        <v>7700</v>
      </c>
      <c r="C63" s="2">
        <f ca="1">IFERROR(__xludf.DUMMYFUNCTION("""COMPUTED_VALUE"""),41731.625)</f>
        <v>41731.625</v>
      </c>
      <c r="D63" s="1">
        <f ca="1">IFERROR(__xludf.DUMMYFUNCTION("""COMPUTED_VALUE"""),7725)</f>
        <v>7725</v>
      </c>
    </row>
    <row r="64" spans="1:4" x14ac:dyDescent="0.2">
      <c r="A64" s="2">
        <f ca="1">IFERROR(__xludf.DUMMYFUNCTION("""COMPUTED_VALUE"""),41732.625)</f>
        <v>41732.625</v>
      </c>
      <c r="B64" s="1">
        <f ca="1">IFERROR(__xludf.DUMMYFUNCTION("""COMPUTED_VALUE"""),7800)</f>
        <v>7800</v>
      </c>
      <c r="C64" s="2">
        <f ca="1">IFERROR(__xludf.DUMMYFUNCTION("""COMPUTED_VALUE"""),41732.625)</f>
        <v>41732.625</v>
      </c>
      <c r="D64" s="1">
        <f ca="1">IFERROR(__xludf.DUMMYFUNCTION("""COMPUTED_VALUE"""),7800)</f>
        <v>7800</v>
      </c>
    </row>
    <row r="65" spans="1:4" x14ac:dyDescent="0.2">
      <c r="A65" s="2">
        <f ca="1">IFERROR(__xludf.DUMMYFUNCTION("""COMPUTED_VALUE"""),41733.625)</f>
        <v>41733.625</v>
      </c>
      <c r="B65" s="1">
        <f ca="1">IFERROR(__xludf.DUMMYFUNCTION("""COMPUTED_VALUE"""),7850)</f>
        <v>7850</v>
      </c>
      <c r="C65" s="2">
        <f ca="1">IFERROR(__xludf.DUMMYFUNCTION("""COMPUTED_VALUE"""),41733.625)</f>
        <v>41733.625</v>
      </c>
      <c r="D65" s="1">
        <f ca="1">IFERROR(__xludf.DUMMYFUNCTION("""COMPUTED_VALUE"""),7800)</f>
        <v>7800</v>
      </c>
    </row>
    <row r="66" spans="1:4" x14ac:dyDescent="0.2">
      <c r="A66" s="2">
        <f ca="1">IFERROR(__xludf.DUMMYFUNCTION("""COMPUTED_VALUE"""),41736.625)</f>
        <v>41736.625</v>
      </c>
      <c r="B66" s="1">
        <f ca="1">IFERROR(__xludf.DUMMYFUNCTION("""COMPUTED_VALUE"""),7800)</f>
        <v>7800</v>
      </c>
      <c r="C66" s="2">
        <f ca="1">IFERROR(__xludf.DUMMYFUNCTION("""COMPUTED_VALUE"""),41736.625)</f>
        <v>41736.625</v>
      </c>
      <c r="D66" s="1">
        <f ca="1">IFERROR(__xludf.DUMMYFUNCTION("""COMPUTED_VALUE"""),8000)</f>
        <v>8000</v>
      </c>
    </row>
    <row r="67" spans="1:4" x14ac:dyDescent="0.2">
      <c r="A67" s="2">
        <f ca="1">IFERROR(__xludf.DUMMYFUNCTION("""COMPUTED_VALUE"""),41737.625)</f>
        <v>41737.625</v>
      </c>
      <c r="B67" s="1">
        <f ca="1">IFERROR(__xludf.DUMMYFUNCTION("""COMPUTED_VALUE"""),8000)</f>
        <v>8000</v>
      </c>
      <c r="C67" s="2">
        <f ca="1">IFERROR(__xludf.DUMMYFUNCTION("""COMPUTED_VALUE"""),41737.625)</f>
        <v>41737.625</v>
      </c>
      <c r="D67" s="1">
        <f ca="1">IFERROR(__xludf.DUMMYFUNCTION("""COMPUTED_VALUE"""),8025)</f>
        <v>8025</v>
      </c>
    </row>
    <row r="68" spans="1:4" x14ac:dyDescent="0.2">
      <c r="A68" s="2">
        <f ca="1">IFERROR(__xludf.DUMMYFUNCTION("""COMPUTED_VALUE"""),41739.625)</f>
        <v>41739.625</v>
      </c>
      <c r="B68" s="1">
        <f ca="1">IFERROR(__xludf.DUMMYFUNCTION("""COMPUTED_VALUE"""),7700)</f>
        <v>7700</v>
      </c>
      <c r="C68" s="2">
        <f ca="1">IFERROR(__xludf.DUMMYFUNCTION("""COMPUTED_VALUE"""),41739.625)</f>
        <v>41739.625</v>
      </c>
      <c r="D68" s="1">
        <f ca="1">IFERROR(__xludf.DUMMYFUNCTION("""COMPUTED_VALUE"""),7525)</f>
        <v>7525</v>
      </c>
    </row>
    <row r="69" spans="1:4" x14ac:dyDescent="0.2">
      <c r="A69" s="2">
        <f ca="1">IFERROR(__xludf.DUMMYFUNCTION("""COMPUTED_VALUE"""),41740.625)</f>
        <v>41740.625</v>
      </c>
      <c r="B69" s="1">
        <f ca="1">IFERROR(__xludf.DUMMYFUNCTION("""COMPUTED_VALUE"""),7525)</f>
        <v>7525</v>
      </c>
      <c r="C69" s="2">
        <f ca="1">IFERROR(__xludf.DUMMYFUNCTION("""COMPUTED_VALUE"""),41740.625)</f>
        <v>41740.625</v>
      </c>
      <c r="D69" s="1">
        <f ca="1">IFERROR(__xludf.DUMMYFUNCTION("""COMPUTED_VALUE"""),7675)</f>
        <v>7675</v>
      </c>
    </row>
    <row r="70" spans="1:4" x14ac:dyDescent="0.2">
      <c r="A70" s="2">
        <f ca="1">IFERROR(__xludf.DUMMYFUNCTION("""COMPUTED_VALUE"""),41743.625)</f>
        <v>41743.625</v>
      </c>
      <c r="B70" s="1">
        <f ca="1">IFERROR(__xludf.DUMMYFUNCTION("""COMPUTED_VALUE"""),7725)</f>
        <v>7725</v>
      </c>
      <c r="C70" s="2">
        <f ca="1">IFERROR(__xludf.DUMMYFUNCTION("""COMPUTED_VALUE"""),41743.625)</f>
        <v>41743.625</v>
      </c>
      <c r="D70" s="1">
        <f ca="1">IFERROR(__xludf.DUMMYFUNCTION("""COMPUTED_VALUE"""),7700)</f>
        <v>7700</v>
      </c>
    </row>
    <row r="71" spans="1:4" x14ac:dyDescent="0.2">
      <c r="A71" s="2">
        <f ca="1">IFERROR(__xludf.DUMMYFUNCTION("""COMPUTED_VALUE"""),41744.625)</f>
        <v>41744.625</v>
      </c>
      <c r="B71" s="1">
        <f ca="1">IFERROR(__xludf.DUMMYFUNCTION("""COMPUTED_VALUE"""),7775)</f>
        <v>7775</v>
      </c>
      <c r="C71" s="2">
        <f ca="1">IFERROR(__xludf.DUMMYFUNCTION("""COMPUTED_VALUE"""),41744.625)</f>
        <v>41744.625</v>
      </c>
      <c r="D71" s="1">
        <f ca="1">IFERROR(__xludf.DUMMYFUNCTION("""COMPUTED_VALUE"""),7725)</f>
        <v>7725</v>
      </c>
    </row>
    <row r="72" spans="1:4" x14ac:dyDescent="0.2">
      <c r="A72" s="2">
        <f ca="1">IFERROR(__xludf.DUMMYFUNCTION("""COMPUTED_VALUE"""),41745.625)</f>
        <v>41745.625</v>
      </c>
      <c r="B72" s="1">
        <f ca="1">IFERROR(__xludf.DUMMYFUNCTION("""COMPUTED_VALUE"""),7750)</f>
        <v>7750</v>
      </c>
      <c r="C72" s="2">
        <f ca="1">IFERROR(__xludf.DUMMYFUNCTION("""COMPUTED_VALUE"""),41745.625)</f>
        <v>41745.625</v>
      </c>
      <c r="D72" s="1">
        <f ca="1">IFERROR(__xludf.DUMMYFUNCTION("""COMPUTED_VALUE"""),7750)</f>
        <v>7750</v>
      </c>
    </row>
    <row r="73" spans="1:4" x14ac:dyDescent="0.2">
      <c r="A73" s="2">
        <f ca="1">IFERROR(__xludf.DUMMYFUNCTION("""COMPUTED_VALUE"""),41746.625)</f>
        <v>41746.625</v>
      </c>
      <c r="B73" s="1">
        <f ca="1">IFERROR(__xludf.DUMMYFUNCTION("""COMPUTED_VALUE"""),7850)</f>
        <v>7850</v>
      </c>
      <c r="C73" s="2">
        <f ca="1">IFERROR(__xludf.DUMMYFUNCTION("""COMPUTED_VALUE"""),41746.625)</f>
        <v>41746.625</v>
      </c>
      <c r="D73" s="1">
        <f ca="1">IFERROR(__xludf.DUMMYFUNCTION("""COMPUTED_VALUE"""),7825)</f>
        <v>7825</v>
      </c>
    </row>
    <row r="74" spans="1:4" x14ac:dyDescent="0.2">
      <c r="A74" s="2">
        <f ca="1">IFERROR(__xludf.DUMMYFUNCTION("""COMPUTED_VALUE"""),41750.625)</f>
        <v>41750.625</v>
      </c>
      <c r="B74" s="1">
        <f ca="1">IFERROR(__xludf.DUMMYFUNCTION("""COMPUTED_VALUE"""),7950)</f>
        <v>7950</v>
      </c>
      <c r="C74" s="2">
        <f ca="1">IFERROR(__xludf.DUMMYFUNCTION("""COMPUTED_VALUE"""),41750.625)</f>
        <v>41750.625</v>
      </c>
      <c r="D74" s="1">
        <f ca="1">IFERROR(__xludf.DUMMYFUNCTION("""COMPUTED_VALUE"""),7900)</f>
        <v>7900</v>
      </c>
    </row>
    <row r="75" spans="1:4" x14ac:dyDescent="0.2">
      <c r="A75" s="2">
        <f ca="1">IFERROR(__xludf.DUMMYFUNCTION("""COMPUTED_VALUE"""),41751.625)</f>
        <v>41751.625</v>
      </c>
      <c r="B75" s="1">
        <f ca="1">IFERROR(__xludf.DUMMYFUNCTION("""COMPUTED_VALUE"""),7900)</f>
        <v>7900</v>
      </c>
      <c r="C75" s="2">
        <f ca="1">IFERROR(__xludf.DUMMYFUNCTION("""COMPUTED_VALUE"""),41751.625)</f>
        <v>41751.625</v>
      </c>
      <c r="D75" s="1">
        <f ca="1">IFERROR(__xludf.DUMMYFUNCTION("""COMPUTED_VALUE"""),7850)</f>
        <v>7850</v>
      </c>
    </row>
    <row r="76" spans="1:4" x14ac:dyDescent="0.2">
      <c r="A76" s="2">
        <f ca="1">IFERROR(__xludf.DUMMYFUNCTION("""COMPUTED_VALUE"""),41752.625)</f>
        <v>41752.625</v>
      </c>
      <c r="B76" s="1">
        <f ca="1">IFERROR(__xludf.DUMMYFUNCTION("""COMPUTED_VALUE"""),7900)</f>
        <v>7900</v>
      </c>
      <c r="C76" s="2">
        <f ca="1">IFERROR(__xludf.DUMMYFUNCTION("""COMPUTED_VALUE"""),41752.625)</f>
        <v>41752.625</v>
      </c>
      <c r="D76" s="1">
        <f ca="1">IFERROR(__xludf.DUMMYFUNCTION("""COMPUTED_VALUE"""),7900)</f>
        <v>7900</v>
      </c>
    </row>
    <row r="77" spans="1:4" x14ac:dyDescent="0.2">
      <c r="A77" s="2">
        <f ca="1">IFERROR(__xludf.DUMMYFUNCTION("""COMPUTED_VALUE"""),41753.625)</f>
        <v>41753.625</v>
      </c>
      <c r="B77" s="1">
        <f ca="1">IFERROR(__xludf.DUMMYFUNCTION("""COMPUTED_VALUE"""),7975)</f>
        <v>7975</v>
      </c>
      <c r="C77" s="2">
        <f ca="1">IFERROR(__xludf.DUMMYFUNCTION("""COMPUTED_VALUE"""),41753.625)</f>
        <v>41753.625</v>
      </c>
      <c r="D77" s="1">
        <f ca="1">IFERROR(__xludf.DUMMYFUNCTION("""COMPUTED_VALUE"""),7950)</f>
        <v>7950</v>
      </c>
    </row>
    <row r="78" spans="1:4" x14ac:dyDescent="0.2">
      <c r="A78" s="2">
        <f ca="1">IFERROR(__xludf.DUMMYFUNCTION("""COMPUTED_VALUE"""),41754.625)</f>
        <v>41754.625</v>
      </c>
      <c r="B78" s="1">
        <f ca="1">IFERROR(__xludf.DUMMYFUNCTION("""COMPUTED_VALUE"""),7950)</f>
        <v>7950</v>
      </c>
      <c r="C78" s="2">
        <f ca="1">IFERROR(__xludf.DUMMYFUNCTION("""COMPUTED_VALUE"""),41754.625)</f>
        <v>41754.625</v>
      </c>
      <c r="D78" s="1">
        <f ca="1">IFERROR(__xludf.DUMMYFUNCTION("""COMPUTED_VALUE"""),7875)</f>
        <v>7875</v>
      </c>
    </row>
    <row r="79" spans="1:4" x14ac:dyDescent="0.2">
      <c r="A79" s="2">
        <f ca="1">IFERROR(__xludf.DUMMYFUNCTION("""COMPUTED_VALUE"""),41757.625)</f>
        <v>41757.625</v>
      </c>
      <c r="B79" s="1">
        <f ca="1">IFERROR(__xludf.DUMMYFUNCTION("""COMPUTED_VALUE"""),7750)</f>
        <v>7750</v>
      </c>
      <c r="C79" s="2">
        <f ca="1">IFERROR(__xludf.DUMMYFUNCTION("""COMPUTED_VALUE"""),41757.625)</f>
        <v>41757.625</v>
      </c>
      <c r="D79" s="1">
        <f ca="1">IFERROR(__xludf.DUMMYFUNCTION("""COMPUTED_VALUE"""),7600)</f>
        <v>7600</v>
      </c>
    </row>
    <row r="80" spans="1:4" x14ac:dyDescent="0.2">
      <c r="A80" s="2">
        <f ca="1">IFERROR(__xludf.DUMMYFUNCTION("""COMPUTED_VALUE"""),41758.625)</f>
        <v>41758.625</v>
      </c>
      <c r="B80" s="1">
        <f ca="1">IFERROR(__xludf.DUMMYFUNCTION("""COMPUTED_VALUE"""),7550)</f>
        <v>7550</v>
      </c>
      <c r="C80" s="2">
        <f ca="1">IFERROR(__xludf.DUMMYFUNCTION("""COMPUTED_VALUE"""),41758.625)</f>
        <v>41758.625</v>
      </c>
      <c r="D80" s="1">
        <f ca="1">IFERROR(__xludf.DUMMYFUNCTION("""COMPUTED_VALUE"""),7475)</f>
        <v>7475</v>
      </c>
    </row>
    <row r="81" spans="1:4" x14ac:dyDescent="0.2">
      <c r="A81" s="2">
        <f ca="1">IFERROR(__xludf.DUMMYFUNCTION("""COMPUTED_VALUE"""),41759.625)</f>
        <v>41759.625</v>
      </c>
      <c r="B81" s="1">
        <f ca="1">IFERROR(__xludf.DUMMYFUNCTION("""COMPUTED_VALUE"""),7475)</f>
        <v>7475</v>
      </c>
      <c r="C81" s="2">
        <f ca="1">IFERROR(__xludf.DUMMYFUNCTION("""COMPUTED_VALUE"""),41759.625)</f>
        <v>41759.625</v>
      </c>
      <c r="D81" s="1">
        <f ca="1">IFERROR(__xludf.DUMMYFUNCTION("""COMPUTED_VALUE"""),7425)</f>
        <v>7425</v>
      </c>
    </row>
    <row r="82" spans="1:4" x14ac:dyDescent="0.2">
      <c r="A82" s="2">
        <f ca="1">IFERROR(__xludf.DUMMYFUNCTION("""COMPUTED_VALUE"""),41761.625)</f>
        <v>41761.625</v>
      </c>
      <c r="B82" s="1">
        <f ca="1">IFERROR(__xludf.DUMMYFUNCTION("""COMPUTED_VALUE"""),7400)</f>
        <v>7400</v>
      </c>
      <c r="C82" s="2">
        <f ca="1">IFERROR(__xludf.DUMMYFUNCTION("""COMPUTED_VALUE"""),41761.625)</f>
        <v>41761.625</v>
      </c>
      <c r="D82" s="1">
        <f ca="1">IFERROR(__xludf.DUMMYFUNCTION("""COMPUTED_VALUE"""),7425)</f>
        <v>7425</v>
      </c>
    </row>
    <row r="83" spans="1:4" x14ac:dyDescent="0.2">
      <c r="A83" s="2">
        <f ca="1">IFERROR(__xludf.DUMMYFUNCTION("""COMPUTED_VALUE"""),41764.625)</f>
        <v>41764.625</v>
      </c>
      <c r="B83" s="1">
        <f ca="1">IFERROR(__xludf.DUMMYFUNCTION("""COMPUTED_VALUE"""),7450)</f>
        <v>7450</v>
      </c>
      <c r="C83" s="2">
        <f ca="1">IFERROR(__xludf.DUMMYFUNCTION("""COMPUTED_VALUE"""),41764.625)</f>
        <v>41764.625</v>
      </c>
      <c r="D83" s="1">
        <f ca="1">IFERROR(__xludf.DUMMYFUNCTION("""COMPUTED_VALUE"""),7425)</f>
        <v>7425</v>
      </c>
    </row>
    <row r="84" spans="1:4" x14ac:dyDescent="0.2">
      <c r="A84" s="2">
        <f ca="1">IFERROR(__xludf.DUMMYFUNCTION("""COMPUTED_VALUE"""),41765.625)</f>
        <v>41765.625</v>
      </c>
      <c r="B84" s="1">
        <f ca="1">IFERROR(__xludf.DUMMYFUNCTION("""COMPUTED_VALUE"""),7450)</f>
        <v>7450</v>
      </c>
      <c r="C84" s="2">
        <f ca="1">IFERROR(__xludf.DUMMYFUNCTION("""COMPUTED_VALUE"""),41765.625)</f>
        <v>41765.625</v>
      </c>
      <c r="D84" s="1">
        <f ca="1">IFERROR(__xludf.DUMMYFUNCTION("""COMPUTED_VALUE"""),7400)</f>
        <v>7400</v>
      </c>
    </row>
    <row r="85" spans="1:4" x14ac:dyDescent="0.2">
      <c r="A85" s="2">
        <f ca="1">IFERROR(__xludf.DUMMYFUNCTION("""COMPUTED_VALUE"""),41766.625)</f>
        <v>41766.625</v>
      </c>
      <c r="B85" s="1">
        <f ca="1">IFERROR(__xludf.DUMMYFUNCTION("""COMPUTED_VALUE"""),7400)</f>
        <v>7400</v>
      </c>
      <c r="C85" s="2">
        <f ca="1">IFERROR(__xludf.DUMMYFUNCTION("""COMPUTED_VALUE"""),41766.625)</f>
        <v>41766.625</v>
      </c>
      <c r="D85" s="1">
        <f ca="1">IFERROR(__xludf.DUMMYFUNCTION("""COMPUTED_VALUE"""),7500)</f>
        <v>7500</v>
      </c>
    </row>
    <row r="86" spans="1:4" x14ac:dyDescent="0.2">
      <c r="A86" s="2">
        <f ca="1">IFERROR(__xludf.DUMMYFUNCTION("""COMPUTED_VALUE"""),41767.625)</f>
        <v>41767.625</v>
      </c>
      <c r="B86" s="1">
        <f ca="1">IFERROR(__xludf.DUMMYFUNCTION("""COMPUTED_VALUE"""),7550)</f>
        <v>7550</v>
      </c>
      <c r="C86" s="2">
        <f ca="1">IFERROR(__xludf.DUMMYFUNCTION("""COMPUTED_VALUE"""),41767.625)</f>
        <v>41767.625</v>
      </c>
      <c r="D86" s="1">
        <f ca="1">IFERROR(__xludf.DUMMYFUNCTION("""COMPUTED_VALUE"""),7475)</f>
        <v>7475</v>
      </c>
    </row>
    <row r="87" spans="1:4" x14ac:dyDescent="0.2">
      <c r="A87" s="2">
        <f ca="1">IFERROR(__xludf.DUMMYFUNCTION("""COMPUTED_VALUE"""),41768.625)</f>
        <v>41768.625</v>
      </c>
      <c r="B87" s="1">
        <f ca="1">IFERROR(__xludf.DUMMYFUNCTION("""COMPUTED_VALUE"""),7525)</f>
        <v>7525</v>
      </c>
      <c r="C87" s="2">
        <f ca="1">IFERROR(__xludf.DUMMYFUNCTION("""COMPUTED_VALUE"""),41768.625)</f>
        <v>41768.625</v>
      </c>
      <c r="D87" s="1">
        <f ca="1">IFERROR(__xludf.DUMMYFUNCTION("""COMPUTED_VALUE"""),7475)</f>
        <v>7475</v>
      </c>
    </row>
    <row r="88" spans="1:4" x14ac:dyDescent="0.2">
      <c r="A88" s="2">
        <f ca="1">IFERROR(__xludf.DUMMYFUNCTION("""COMPUTED_VALUE"""),41771.625)</f>
        <v>41771.625</v>
      </c>
      <c r="B88" s="1">
        <f ca="1">IFERROR(__xludf.DUMMYFUNCTION("""COMPUTED_VALUE"""),7525)</f>
        <v>7525</v>
      </c>
      <c r="C88" s="2">
        <f ca="1">IFERROR(__xludf.DUMMYFUNCTION("""COMPUTED_VALUE"""),41771.625)</f>
        <v>41771.625</v>
      </c>
      <c r="D88" s="1">
        <f ca="1">IFERROR(__xludf.DUMMYFUNCTION("""COMPUTED_VALUE"""),7500)</f>
        <v>7500</v>
      </c>
    </row>
    <row r="89" spans="1:4" x14ac:dyDescent="0.2">
      <c r="A89" s="2">
        <f ca="1">IFERROR(__xludf.DUMMYFUNCTION("""COMPUTED_VALUE"""),41772.625)</f>
        <v>41772.625</v>
      </c>
      <c r="B89" s="1">
        <f ca="1">IFERROR(__xludf.DUMMYFUNCTION("""COMPUTED_VALUE"""),7575)</f>
        <v>7575</v>
      </c>
      <c r="C89" s="2">
        <f ca="1">IFERROR(__xludf.DUMMYFUNCTION("""COMPUTED_VALUE"""),41772.625)</f>
        <v>41772.625</v>
      </c>
      <c r="D89" s="1">
        <f ca="1">IFERROR(__xludf.DUMMYFUNCTION("""COMPUTED_VALUE"""),7425)</f>
        <v>7425</v>
      </c>
    </row>
    <row r="90" spans="1:4" x14ac:dyDescent="0.2">
      <c r="A90" s="2">
        <f ca="1">IFERROR(__xludf.DUMMYFUNCTION("""COMPUTED_VALUE"""),41773.625)</f>
        <v>41773.625</v>
      </c>
      <c r="B90" s="1">
        <f ca="1">IFERROR(__xludf.DUMMYFUNCTION("""COMPUTED_VALUE"""),7500)</f>
        <v>7500</v>
      </c>
      <c r="C90" s="2">
        <f ca="1">IFERROR(__xludf.DUMMYFUNCTION("""COMPUTED_VALUE"""),41773.625)</f>
        <v>41773.625</v>
      </c>
      <c r="D90" s="1">
        <f ca="1">IFERROR(__xludf.DUMMYFUNCTION("""COMPUTED_VALUE"""),7575)</f>
        <v>7575</v>
      </c>
    </row>
    <row r="91" spans="1:4" x14ac:dyDescent="0.2">
      <c r="A91" s="2">
        <f ca="1">IFERROR(__xludf.DUMMYFUNCTION("""COMPUTED_VALUE"""),41775.625)</f>
        <v>41775.625</v>
      </c>
      <c r="B91" s="1">
        <f ca="1">IFERROR(__xludf.DUMMYFUNCTION("""COMPUTED_VALUE"""),7550)</f>
        <v>7550</v>
      </c>
      <c r="C91" s="2">
        <f ca="1">IFERROR(__xludf.DUMMYFUNCTION("""COMPUTED_VALUE"""),41775.625)</f>
        <v>41775.625</v>
      </c>
      <c r="D91" s="1">
        <f ca="1">IFERROR(__xludf.DUMMYFUNCTION("""COMPUTED_VALUE"""),7675)</f>
        <v>7675</v>
      </c>
    </row>
    <row r="92" spans="1:4" x14ac:dyDescent="0.2">
      <c r="A92" s="2">
        <f ca="1">IFERROR(__xludf.DUMMYFUNCTION("""COMPUTED_VALUE"""),41778.625)</f>
        <v>41778.625</v>
      </c>
      <c r="B92" s="1">
        <f ca="1">IFERROR(__xludf.DUMMYFUNCTION("""COMPUTED_VALUE"""),7700)</f>
        <v>7700</v>
      </c>
      <c r="C92" s="2">
        <f ca="1">IFERROR(__xludf.DUMMYFUNCTION("""COMPUTED_VALUE"""),41778.625)</f>
        <v>41778.625</v>
      </c>
      <c r="D92" s="1">
        <f ca="1">IFERROR(__xludf.DUMMYFUNCTION("""COMPUTED_VALUE"""),7700)</f>
        <v>7700</v>
      </c>
    </row>
    <row r="93" spans="1:4" x14ac:dyDescent="0.2">
      <c r="A93" s="2">
        <f ca="1">IFERROR(__xludf.DUMMYFUNCTION("""COMPUTED_VALUE"""),41779.625)</f>
        <v>41779.625</v>
      </c>
      <c r="B93" s="1">
        <f ca="1">IFERROR(__xludf.DUMMYFUNCTION("""COMPUTED_VALUE"""),7500)</f>
        <v>7500</v>
      </c>
      <c r="C93" s="2">
        <f ca="1">IFERROR(__xludf.DUMMYFUNCTION("""COMPUTED_VALUE"""),41779.625)</f>
        <v>41779.625</v>
      </c>
      <c r="D93" s="1">
        <f ca="1">IFERROR(__xludf.DUMMYFUNCTION("""COMPUTED_VALUE"""),7500)</f>
        <v>7500</v>
      </c>
    </row>
    <row r="94" spans="1:4" x14ac:dyDescent="0.2">
      <c r="A94" s="2">
        <f ca="1">IFERROR(__xludf.DUMMYFUNCTION("""COMPUTED_VALUE"""),41780.625)</f>
        <v>41780.625</v>
      </c>
      <c r="B94" s="1">
        <f ca="1">IFERROR(__xludf.DUMMYFUNCTION("""COMPUTED_VALUE"""),7500)</f>
        <v>7500</v>
      </c>
      <c r="C94" s="2">
        <f ca="1">IFERROR(__xludf.DUMMYFUNCTION("""COMPUTED_VALUE"""),41780.625)</f>
        <v>41780.625</v>
      </c>
      <c r="D94" s="1">
        <f ca="1">IFERROR(__xludf.DUMMYFUNCTION("""COMPUTED_VALUE"""),7500)</f>
        <v>7500</v>
      </c>
    </row>
    <row r="95" spans="1:4" x14ac:dyDescent="0.2">
      <c r="A95" s="2">
        <f ca="1">IFERROR(__xludf.DUMMYFUNCTION("""COMPUTED_VALUE"""),41781.625)</f>
        <v>41781.625</v>
      </c>
      <c r="B95" s="1">
        <f ca="1">IFERROR(__xludf.DUMMYFUNCTION("""COMPUTED_VALUE"""),7600)</f>
        <v>7600</v>
      </c>
      <c r="C95" s="2">
        <f ca="1">IFERROR(__xludf.DUMMYFUNCTION("""COMPUTED_VALUE"""),41781.625)</f>
        <v>41781.625</v>
      </c>
      <c r="D95" s="1">
        <f ca="1">IFERROR(__xludf.DUMMYFUNCTION("""COMPUTED_VALUE"""),7600)</f>
        <v>7600</v>
      </c>
    </row>
    <row r="96" spans="1:4" x14ac:dyDescent="0.2">
      <c r="A96" s="2">
        <f ca="1">IFERROR(__xludf.DUMMYFUNCTION("""COMPUTED_VALUE"""),41782.625)</f>
        <v>41782.625</v>
      </c>
      <c r="B96" s="1">
        <f ca="1">IFERROR(__xludf.DUMMYFUNCTION("""COMPUTED_VALUE"""),7500)</f>
        <v>7500</v>
      </c>
      <c r="C96" s="2">
        <f ca="1">IFERROR(__xludf.DUMMYFUNCTION("""COMPUTED_VALUE"""),41782.625)</f>
        <v>41782.625</v>
      </c>
      <c r="D96" s="1">
        <f ca="1">IFERROR(__xludf.DUMMYFUNCTION("""COMPUTED_VALUE"""),7500)</f>
        <v>7500</v>
      </c>
    </row>
    <row r="97" spans="1:4" x14ac:dyDescent="0.2">
      <c r="A97" s="2">
        <f ca="1">IFERROR(__xludf.DUMMYFUNCTION("""COMPUTED_VALUE"""),41785.625)</f>
        <v>41785.625</v>
      </c>
      <c r="B97" s="1">
        <f ca="1">IFERROR(__xludf.DUMMYFUNCTION("""COMPUTED_VALUE"""),7450)</f>
        <v>7450</v>
      </c>
      <c r="C97" s="2">
        <f ca="1">IFERROR(__xludf.DUMMYFUNCTION("""COMPUTED_VALUE"""),41785.625)</f>
        <v>41785.625</v>
      </c>
      <c r="D97" s="1">
        <f ca="1">IFERROR(__xludf.DUMMYFUNCTION("""COMPUTED_VALUE"""),7450)</f>
        <v>7450</v>
      </c>
    </row>
    <row r="98" spans="1:4" x14ac:dyDescent="0.2">
      <c r="A98" s="2">
        <f ca="1">IFERROR(__xludf.DUMMYFUNCTION("""COMPUTED_VALUE"""),41787.625)</f>
        <v>41787.625</v>
      </c>
      <c r="B98" s="1">
        <f ca="1">IFERROR(__xludf.DUMMYFUNCTION("""COMPUTED_VALUE"""),7450)</f>
        <v>7450</v>
      </c>
      <c r="C98" s="2">
        <f ca="1">IFERROR(__xludf.DUMMYFUNCTION("""COMPUTED_VALUE"""),41787.625)</f>
        <v>41787.625</v>
      </c>
      <c r="D98" s="1">
        <f ca="1">IFERROR(__xludf.DUMMYFUNCTION("""COMPUTED_VALUE"""),7450)</f>
        <v>7450</v>
      </c>
    </row>
    <row r="99" spans="1:4" x14ac:dyDescent="0.2">
      <c r="A99" s="2">
        <f ca="1">IFERROR(__xludf.DUMMYFUNCTION("""COMPUTED_VALUE"""),41789.625)</f>
        <v>41789.625</v>
      </c>
      <c r="B99" s="1">
        <f ca="1">IFERROR(__xludf.DUMMYFUNCTION("""COMPUTED_VALUE"""),7075)</f>
        <v>7075</v>
      </c>
      <c r="C99" s="2">
        <f ca="1">IFERROR(__xludf.DUMMYFUNCTION("""COMPUTED_VALUE"""),41789.625)</f>
        <v>41789.625</v>
      </c>
      <c r="D99" s="1">
        <f ca="1">IFERROR(__xludf.DUMMYFUNCTION("""COMPUTED_VALUE"""),7075)</f>
        <v>7075</v>
      </c>
    </row>
    <row r="100" spans="1:4" x14ac:dyDescent="0.2">
      <c r="A100" s="2">
        <f ca="1">IFERROR(__xludf.DUMMYFUNCTION("""COMPUTED_VALUE"""),41792.625)</f>
        <v>41792.625</v>
      </c>
      <c r="B100" s="1">
        <f ca="1">IFERROR(__xludf.DUMMYFUNCTION("""COMPUTED_VALUE"""),7225)</f>
        <v>7225</v>
      </c>
      <c r="C100" s="2">
        <f ca="1">IFERROR(__xludf.DUMMYFUNCTION("""COMPUTED_VALUE"""),41792.625)</f>
        <v>41792.625</v>
      </c>
      <c r="D100" s="1">
        <f ca="1">IFERROR(__xludf.DUMMYFUNCTION("""COMPUTED_VALUE"""),7225)</f>
        <v>7225</v>
      </c>
    </row>
    <row r="101" spans="1:4" x14ac:dyDescent="0.2">
      <c r="A101" s="2">
        <f ca="1">IFERROR(__xludf.DUMMYFUNCTION("""COMPUTED_VALUE"""),41793.625)</f>
        <v>41793.625</v>
      </c>
      <c r="B101" s="1">
        <f ca="1">IFERROR(__xludf.DUMMYFUNCTION("""COMPUTED_VALUE"""),7225)</f>
        <v>7225</v>
      </c>
      <c r="C101" s="2">
        <f ca="1">IFERROR(__xludf.DUMMYFUNCTION("""COMPUTED_VALUE"""),41793.625)</f>
        <v>41793.625</v>
      </c>
      <c r="D101" s="1">
        <f ca="1">IFERROR(__xludf.DUMMYFUNCTION("""COMPUTED_VALUE"""),7225)</f>
        <v>7225</v>
      </c>
    </row>
    <row r="102" spans="1:4" x14ac:dyDescent="0.2">
      <c r="A102" s="2">
        <f ca="1">IFERROR(__xludf.DUMMYFUNCTION("""COMPUTED_VALUE"""),41794.625)</f>
        <v>41794.625</v>
      </c>
      <c r="B102" s="1">
        <f ca="1">IFERROR(__xludf.DUMMYFUNCTION("""COMPUTED_VALUE"""),7175)</f>
        <v>7175</v>
      </c>
      <c r="C102" s="2">
        <f ca="1">IFERROR(__xludf.DUMMYFUNCTION("""COMPUTED_VALUE"""),41794.625)</f>
        <v>41794.625</v>
      </c>
      <c r="D102" s="1">
        <f ca="1">IFERROR(__xludf.DUMMYFUNCTION("""COMPUTED_VALUE"""),7175)</f>
        <v>7175</v>
      </c>
    </row>
    <row r="103" spans="1:4" x14ac:dyDescent="0.2">
      <c r="A103" s="2">
        <f ca="1">IFERROR(__xludf.DUMMYFUNCTION("""COMPUTED_VALUE"""),41795.625)</f>
        <v>41795.625</v>
      </c>
      <c r="B103" s="1">
        <f ca="1">IFERROR(__xludf.DUMMYFUNCTION("""COMPUTED_VALUE"""),7225)</f>
        <v>7225</v>
      </c>
      <c r="C103" s="2">
        <f ca="1">IFERROR(__xludf.DUMMYFUNCTION("""COMPUTED_VALUE"""),41795.625)</f>
        <v>41795.625</v>
      </c>
      <c r="D103" s="1">
        <f ca="1">IFERROR(__xludf.DUMMYFUNCTION("""COMPUTED_VALUE"""),7150)</f>
        <v>7150</v>
      </c>
    </row>
    <row r="104" spans="1:4" x14ac:dyDescent="0.2">
      <c r="A104" s="2">
        <f ca="1">IFERROR(__xludf.DUMMYFUNCTION("""COMPUTED_VALUE"""),41796.625)</f>
        <v>41796.625</v>
      </c>
      <c r="B104" s="1">
        <f ca="1">IFERROR(__xludf.DUMMYFUNCTION("""COMPUTED_VALUE"""),7200)</f>
        <v>7200</v>
      </c>
      <c r="C104" s="2">
        <f ca="1">IFERROR(__xludf.DUMMYFUNCTION("""COMPUTED_VALUE"""),41796.625)</f>
        <v>41796.625</v>
      </c>
      <c r="D104" s="1">
        <f ca="1">IFERROR(__xludf.DUMMYFUNCTION("""COMPUTED_VALUE"""),7200)</f>
        <v>7200</v>
      </c>
    </row>
    <row r="105" spans="1:4" x14ac:dyDescent="0.2">
      <c r="A105" s="2">
        <f ca="1">IFERROR(__xludf.DUMMYFUNCTION("""COMPUTED_VALUE"""),41799.625)</f>
        <v>41799.625</v>
      </c>
      <c r="B105" s="1">
        <f ca="1">IFERROR(__xludf.DUMMYFUNCTION("""COMPUTED_VALUE"""),7225)</f>
        <v>7225</v>
      </c>
      <c r="C105" s="2">
        <f ca="1">IFERROR(__xludf.DUMMYFUNCTION("""COMPUTED_VALUE"""),41799.625)</f>
        <v>41799.625</v>
      </c>
      <c r="D105" s="1">
        <f ca="1">IFERROR(__xludf.DUMMYFUNCTION("""COMPUTED_VALUE"""),7225)</f>
        <v>7225</v>
      </c>
    </row>
    <row r="106" spans="1:4" x14ac:dyDescent="0.2">
      <c r="A106" s="2">
        <f ca="1">IFERROR(__xludf.DUMMYFUNCTION("""COMPUTED_VALUE"""),41800.625)</f>
        <v>41800.625</v>
      </c>
      <c r="B106" s="1">
        <f ca="1">IFERROR(__xludf.DUMMYFUNCTION("""COMPUTED_VALUE"""),7400)</f>
        <v>7400</v>
      </c>
      <c r="C106" s="2">
        <f ca="1">IFERROR(__xludf.DUMMYFUNCTION("""COMPUTED_VALUE"""),41800.625)</f>
        <v>41800.625</v>
      </c>
      <c r="D106" s="1">
        <f ca="1">IFERROR(__xludf.DUMMYFUNCTION("""COMPUTED_VALUE"""),7400)</f>
        <v>7400</v>
      </c>
    </row>
    <row r="107" spans="1:4" x14ac:dyDescent="0.2">
      <c r="A107" s="2">
        <f ca="1">IFERROR(__xludf.DUMMYFUNCTION("""COMPUTED_VALUE"""),41801.625)</f>
        <v>41801.625</v>
      </c>
      <c r="B107" s="1">
        <f ca="1">IFERROR(__xludf.DUMMYFUNCTION("""COMPUTED_VALUE"""),7525)</f>
        <v>7525</v>
      </c>
      <c r="C107" s="2">
        <f ca="1">IFERROR(__xludf.DUMMYFUNCTION("""COMPUTED_VALUE"""),41801.625)</f>
        <v>41801.625</v>
      </c>
      <c r="D107" s="1">
        <f ca="1">IFERROR(__xludf.DUMMYFUNCTION("""COMPUTED_VALUE"""),7525)</f>
        <v>7525</v>
      </c>
    </row>
    <row r="108" spans="1:4" x14ac:dyDescent="0.2">
      <c r="A108" s="2">
        <f ca="1">IFERROR(__xludf.DUMMYFUNCTION("""COMPUTED_VALUE"""),41802.625)</f>
        <v>41802.625</v>
      </c>
      <c r="B108" s="1">
        <f ca="1">IFERROR(__xludf.DUMMYFUNCTION("""COMPUTED_VALUE"""),7450)</f>
        <v>7450</v>
      </c>
      <c r="C108" s="2">
        <f ca="1">IFERROR(__xludf.DUMMYFUNCTION("""COMPUTED_VALUE"""),41802.625)</f>
        <v>41802.625</v>
      </c>
      <c r="D108" s="1">
        <f ca="1">IFERROR(__xludf.DUMMYFUNCTION("""COMPUTED_VALUE"""),7450)</f>
        <v>7450</v>
      </c>
    </row>
    <row r="109" spans="1:4" x14ac:dyDescent="0.2">
      <c r="A109" s="2">
        <f ca="1">IFERROR(__xludf.DUMMYFUNCTION("""COMPUTED_VALUE"""),41803.625)</f>
        <v>41803.625</v>
      </c>
      <c r="B109" s="1">
        <f ca="1">IFERROR(__xludf.DUMMYFUNCTION("""COMPUTED_VALUE"""),7400)</f>
        <v>7400</v>
      </c>
      <c r="C109" s="2">
        <f ca="1">IFERROR(__xludf.DUMMYFUNCTION("""COMPUTED_VALUE"""),41803.625)</f>
        <v>41803.625</v>
      </c>
      <c r="D109" s="1">
        <f ca="1">IFERROR(__xludf.DUMMYFUNCTION("""COMPUTED_VALUE"""),7400)</f>
        <v>7400</v>
      </c>
    </row>
    <row r="110" spans="1:4" x14ac:dyDescent="0.2">
      <c r="A110" s="2">
        <f ca="1">IFERROR(__xludf.DUMMYFUNCTION("""COMPUTED_VALUE"""),41806.625)</f>
        <v>41806.625</v>
      </c>
      <c r="B110" s="1">
        <f ca="1">IFERROR(__xludf.DUMMYFUNCTION("""COMPUTED_VALUE"""),7250)</f>
        <v>7250</v>
      </c>
      <c r="C110" s="2">
        <f ca="1">IFERROR(__xludf.DUMMYFUNCTION("""COMPUTED_VALUE"""),41806.625)</f>
        <v>41806.625</v>
      </c>
      <c r="D110" s="1">
        <f ca="1">IFERROR(__xludf.DUMMYFUNCTION("""COMPUTED_VALUE"""),7250)</f>
        <v>7250</v>
      </c>
    </row>
    <row r="111" spans="1:4" x14ac:dyDescent="0.2">
      <c r="A111" s="2">
        <f ca="1">IFERROR(__xludf.DUMMYFUNCTION("""COMPUTED_VALUE"""),41807.625)</f>
        <v>41807.625</v>
      </c>
      <c r="B111" s="1">
        <f ca="1">IFERROR(__xludf.DUMMYFUNCTION("""COMPUTED_VALUE"""),7225)</f>
        <v>7225</v>
      </c>
      <c r="C111" s="2">
        <f ca="1">IFERROR(__xludf.DUMMYFUNCTION("""COMPUTED_VALUE"""),41807.625)</f>
        <v>41807.625</v>
      </c>
      <c r="D111" s="1">
        <f ca="1">IFERROR(__xludf.DUMMYFUNCTION("""COMPUTED_VALUE"""),7225)</f>
        <v>7225</v>
      </c>
    </row>
    <row r="112" spans="1:4" x14ac:dyDescent="0.2">
      <c r="A112" s="2">
        <f ca="1">IFERROR(__xludf.DUMMYFUNCTION("""COMPUTED_VALUE"""),41808.625)</f>
        <v>41808.625</v>
      </c>
      <c r="B112" s="1">
        <f ca="1">IFERROR(__xludf.DUMMYFUNCTION("""COMPUTED_VALUE"""),7175)</f>
        <v>7175</v>
      </c>
      <c r="C112" s="2">
        <f ca="1">IFERROR(__xludf.DUMMYFUNCTION("""COMPUTED_VALUE"""),41808.625)</f>
        <v>41808.625</v>
      </c>
      <c r="D112" s="1">
        <f ca="1">IFERROR(__xludf.DUMMYFUNCTION("""COMPUTED_VALUE"""),7175)</f>
        <v>7175</v>
      </c>
    </row>
    <row r="113" spans="1:4" x14ac:dyDescent="0.2">
      <c r="A113" s="2">
        <f ca="1">IFERROR(__xludf.DUMMYFUNCTION("""COMPUTED_VALUE"""),41809.625)</f>
        <v>41809.625</v>
      </c>
      <c r="B113" s="1">
        <f ca="1">IFERROR(__xludf.DUMMYFUNCTION("""COMPUTED_VALUE"""),7150)</f>
        <v>7150</v>
      </c>
      <c r="C113" s="2">
        <f ca="1">IFERROR(__xludf.DUMMYFUNCTION("""COMPUTED_VALUE"""),41809.625)</f>
        <v>41809.625</v>
      </c>
      <c r="D113" s="1">
        <f ca="1">IFERROR(__xludf.DUMMYFUNCTION("""COMPUTED_VALUE"""),7150)</f>
        <v>7150</v>
      </c>
    </row>
    <row r="114" spans="1:4" x14ac:dyDescent="0.2">
      <c r="A114" s="2">
        <f ca="1">IFERROR(__xludf.DUMMYFUNCTION("""COMPUTED_VALUE"""),41810.625)</f>
        <v>41810.625</v>
      </c>
      <c r="B114" s="1">
        <f ca="1">IFERROR(__xludf.DUMMYFUNCTION("""COMPUTED_VALUE"""),7150)</f>
        <v>7150</v>
      </c>
      <c r="C114" s="2">
        <f ca="1">IFERROR(__xludf.DUMMYFUNCTION("""COMPUTED_VALUE"""),41810.625)</f>
        <v>41810.625</v>
      </c>
      <c r="D114" s="1">
        <f ca="1">IFERROR(__xludf.DUMMYFUNCTION("""COMPUTED_VALUE"""),7150)</f>
        <v>7150</v>
      </c>
    </row>
    <row r="115" spans="1:4" x14ac:dyDescent="0.2">
      <c r="A115" s="2">
        <f ca="1">IFERROR(__xludf.DUMMYFUNCTION("""COMPUTED_VALUE"""),41813.625)</f>
        <v>41813.625</v>
      </c>
      <c r="B115" s="1">
        <f ca="1">IFERROR(__xludf.DUMMYFUNCTION("""COMPUTED_VALUE"""),7225)</f>
        <v>7225</v>
      </c>
      <c r="C115" s="2">
        <f ca="1">IFERROR(__xludf.DUMMYFUNCTION("""COMPUTED_VALUE"""),41813.625)</f>
        <v>41813.625</v>
      </c>
      <c r="D115" s="1">
        <f ca="1">IFERROR(__xludf.DUMMYFUNCTION("""COMPUTED_VALUE"""),7225)</f>
        <v>7225</v>
      </c>
    </row>
    <row r="116" spans="1:4" x14ac:dyDescent="0.2">
      <c r="A116" s="2">
        <f ca="1">IFERROR(__xludf.DUMMYFUNCTION("""COMPUTED_VALUE"""),41814.625)</f>
        <v>41814.625</v>
      </c>
      <c r="B116" s="1">
        <f ca="1">IFERROR(__xludf.DUMMYFUNCTION("""COMPUTED_VALUE"""),7275)</f>
        <v>7275</v>
      </c>
      <c r="C116" s="2">
        <f ca="1">IFERROR(__xludf.DUMMYFUNCTION("""COMPUTED_VALUE"""),41814.625)</f>
        <v>41814.625</v>
      </c>
      <c r="D116" s="1">
        <f ca="1">IFERROR(__xludf.DUMMYFUNCTION("""COMPUTED_VALUE"""),7275)</f>
        <v>7275</v>
      </c>
    </row>
    <row r="117" spans="1:4" x14ac:dyDescent="0.2">
      <c r="A117" s="2">
        <f ca="1">IFERROR(__xludf.DUMMYFUNCTION("""COMPUTED_VALUE"""),41815.625)</f>
        <v>41815.625</v>
      </c>
      <c r="B117" s="1">
        <f ca="1">IFERROR(__xludf.DUMMYFUNCTION("""COMPUTED_VALUE"""),7200)</f>
        <v>7200</v>
      </c>
      <c r="C117" s="2">
        <f ca="1">IFERROR(__xludf.DUMMYFUNCTION("""COMPUTED_VALUE"""),41815.625)</f>
        <v>41815.625</v>
      </c>
      <c r="D117" s="1">
        <f ca="1">IFERROR(__xludf.DUMMYFUNCTION("""COMPUTED_VALUE"""),7200)</f>
        <v>7200</v>
      </c>
    </row>
    <row r="118" spans="1:4" x14ac:dyDescent="0.2">
      <c r="A118" s="2">
        <f ca="1">IFERROR(__xludf.DUMMYFUNCTION("""COMPUTED_VALUE"""),41816.625)</f>
        <v>41816.625</v>
      </c>
      <c r="B118" s="1">
        <f ca="1">IFERROR(__xludf.DUMMYFUNCTION("""COMPUTED_VALUE"""),7225)</f>
        <v>7225</v>
      </c>
      <c r="C118" s="2">
        <f ca="1">IFERROR(__xludf.DUMMYFUNCTION("""COMPUTED_VALUE"""),41816.625)</f>
        <v>41816.625</v>
      </c>
      <c r="D118" s="1">
        <f ca="1">IFERROR(__xludf.DUMMYFUNCTION("""COMPUTED_VALUE"""),7225)</f>
        <v>7225</v>
      </c>
    </row>
    <row r="119" spans="1:4" x14ac:dyDescent="0.2">
      <c r="A119" s="2">
        <f ca="1">IFERROR(__xludf.DUMMYFUNCTION("""COMPUTED_VALUE"""),41817.625)</f>
        <v>41817.625</v>
      </c>
      <c r="B119" s="1">
        <f ca="1">IFERROR(__xludf.DUMMYFUNCTION("""COMPUTED_VALUE"""),7350)</f>
        <v>7350</v>
      </c>
      <c r="C119" s="2">
        <f ca="1">IFERROR(__xludf.DUMMYFUNCTION("""COMPUTED_VALUE"""),41817.625)</f>
        <v>41817.625</v>
      </c>
      <c r="D119" s="1">
        <f ca="1">IFERROR(__xludf.DUMMYFUNCTION("""COMPUTED_VALUE"""),7350)</f>
        <v>7350</v>
      </c>
    </row>
    <row r="120" spans="1:4" x14ac:dyDescent="0.2">
      <c r="A120" s="2">
        <f ca="1">IFERROR(__xludf.DUMMYFUNCTION("""COMPUTED_VALUE"""),41820.625)</f>
        <v>41820.625</v>
      </c>
      <c r="B120" s="1">
        <f ca="1">IFERROR(__xludf.DUMMYFUNCTION("""COMPUTED_VALUE"""),7275)</f>
        <v>7275</v>
      </c>
      <c r="C120" s="2">
        <f ca="1">IFERROR(__xludf.DUMMYFUNCTION("""COMPUTED_VALUE"""),41820.625)</f>
        <v>41820.625</v>
      </c>
      <c r="D120" s="1">
        <f ca="1">IFERROR(__xludf.DUMMYFUNCTION("""COMPUTED_VALUE"""),7275)</f>
        <v>7275</v>
      </c>
    </row>
    <row r="121" spans="1:4" x14ac:dyDescent="0.2">
      <c r="A121" s="2">
        <f ca="1">IFERROR(__xludf.DUMMYFUNCTION("""COMPUTED_VALUE"""),41821.625)</f>
        <v>41821.625</v>
      </c>
      <c r="B121" s="1">
        <f ca="1">IFERROR(__xludf.DUMMYFUNCTION("""COMPUTED_VALUE"""),7350)</f>
        <v>7350</v>
      </c>
      <c r="C121" s="2">
        <f ca="1">IFERROR(__xludf.DUMMYFUNCTION("""COMPUTED_VALUE"""),41821.625)</f>
        <v>41821.625</v>
      </c>
      <c r="D121" s="1">
        <f ca="1">IFERROR(__xludf.DUMMYFUNCTION("""COMPUTED_VALUE"""),7350)</f>
        <v>7350</v>
      </c>
    </row>
    <row r="122" spans="1:4" x14ac:dyDescent="0.2">
      <c r="A122" s="2">
        <f ca="1">IFERROR(__xludf.DUMMYFUNCTION("""COMPUTED_VALUE"""),41822.625)</f>
        <v>41822.625</v>
      </c>
      <c r="B122" s="1">
        <f ca="1">IFERROR(__xludf.DUMMYFUNCTION("""COMPUTED_VALUE"""),7450)</f>
        <v>7450</v>
      </c>
      <c r="C122" s="2">
        <f ca="1">IFERROR(__xludf.DUMMYFUNCTION("""COMPUTED_VALUE"""),41822.625)</f>
        <v>41822.625</v>
      </c>
      <c r="D122" s="1">
        <f ca="1">IFERROR(__xludf.DUMMYFUNCTION("""COMPUTED_VALUE"""),7450)</f>
        <v>7450</v>
      </c>
    </row>
    <row r="123" spans="1:4" x14ac:dyDescent="0.2">
      <c r="A123" s="2">
        <f ca="1">IFERROR(__xludf.DUMMYFUNCTION("""COMPUTED_VALUE"""),41823.625)</f>
        <v>41823.625</v>
      </c>
      <c r="B123" s="1">
        <f ca="1">IFERROR(__xludf.DUMMYFUNCTION("""COMPUTED_VALUE"""),7350)</f>
        <v>7350</v>
      </c>
      <c r="C123" s="2">
        <f ca="1">IFERROR(__xludf.DUMMYFUNCTION("""COMPUTED_VALUE"""),41823.625)</f>
        <v>41823.625</v>
      </c>
      <c r="D123" s="1">
        <f ca="1">IFERROR(__xludf.DUMMYFUNCTION("""COMPUTED_VALUE"""),7350)</f>
        <v>7350</v>
      </c>
    </row>
    <row r="124" spans="1:4" x14ac:dyDescent="0.2">
      <c r="A124" s="2">
        <f ca="1">IFERROR(__xludf.DUMMYFUNCTION("""COMPUTED_VALUE"""),41824.625)</f>
        <v>41824.625</v>
      </c>
      <c r="B124" s="1">
        <f ca="1">IFERROR(__xludf.DUMMYFUNCTION("""COMPUTED_VALUE"""),7350)</f>
        <v>7350</v>
      </c>
      <c r="C124" s="2">
        <f ca="1">IFERROR(__xludf.DUMMYFUNCTION("""COMPUTED_VALUE"""),41824.625)</f>
        <v>41824.625</v>
      </c>
      <c r="D124" s="1">
        <f ca="1">IFERROR(__xludf.DUMMYFUNCTION("""COMPUTED_VALUE"""),7350)</f>
        <v>7350</v>
      </c>
    </row>
    <row r="125" spans="1:4" x14ac:dyDescent="0.2">
      <c r="A125" s="2">
        <f ca="1">IFERROR(__xludf.DUMMYFUNCTION("""COMPUTED_VALUE"""),41827.625)</f>
        <v>41827.625</v>
      </c>
      <c r="B125" s="1">
        <f ca="1">IFERROR(__xludf.DUMMYFUNCTION("""COMPUTED_VALUE"""),7500)</f>
        <v>7500</v>
      </c>
      <c r="C125" s="2">
        <f ca="1">IFERROR(__xludf.DUMMYFUNCTION("""COMPUTED_VALUE"""),41827.625)</f>
        <v>41827.625</v>
      </c>
      <c r="D125" s="1">
        <f ca="1">IFERROR(__xludf.DUMMYFUNCTION("""COMPUTED_VALUE"""),7500)</f>
        <v>7500</v>
      </c>
    </row>
    <row r="126" spans="1:4" x14ac:dyDescent="0.2">
      <c r="A126" s="2">
        <f ca="1">IFERROR(__xludf.DUMMYFUNCTION("""COMPUTED_VALUE"""),41828.625)</f>
        <v>41828.625</v>
      </c>
      <c r="B126" s="1">
        <f ca="1">IFERROR(__xludf.DUMMYFUNCTION("""COMPUTED_VALUE"""),7650)</f>
        <v>7650</v>
      </c>
      <c r="C126" s="2">
        <f ca="1">IFERROR(__xludf.DUMMYFUNCTION("""COMPUTED_VALUE"""),41828.625)</f>
        <v>41828.625</v>
      </c>
      <c r="D126" s="1">
        <f ca="1">IFERROR(__xludf.DUMMYFUNCTION("""COMPUTED_VALUE"""),7650)</f>
        <v>7650</v>
      </c>
    </row>
    <row r="127" spans="1:4" x14ac:dyDescent="0.2">
      <c r="A127" s="2">
        <f ca="1">IFERROR(__xludf.DUMMYFUNCTION("""COMPUTED_VALUE"""),41830.625)</f>
        <v>41830.625</v>
      </c>
      <c r="B127" s="1">
        <f ca="1">IFERROR(__xludf.DUMMYFUNCTION("""COMPUTED_VALUE"""),7825)</f>
        <v>7825</v>
      </c>
      <c r="C127" s="2">
        <f ca="1">IFERROR(__xludf.DUMMYFUNCTION("""COMPUTED_VALUE"""),41830.625)</f>
        <v>41830.625</v>
      </c>
      <c r="D127" s="1">
        <f ca="1">IFERROR(__xludf.DUMMYFUNCTION("""COMPUTED_VALUE"""),7825)</f>
        <v>7825</v>
      </c>
    </row>
    <row r="128" spans="1:4" x14ac:dyDescent="0.2">
      <c r="A128" s="2">
        <f ca="1">IFERROR(__xludf.DUMMYFUNCTION("""COMPUTED_VALUE"""),41831.625)</f>
        <v>41831.625</v>
      </c>
      <c r="B128" s="1">
        <f ca="1">IFERROR(__xludf.DUMMYFUNCTION("""COMPUTED_VALUE"""),7550)</f>
        <v>7550</v>
      </c>
      <c r="C128" s="2">
        <f ca="1">IFERROR(__xludf.DUMMYFUNCTION("""COMPUTED_VALUE"""),41831.625)</f>
        <v>41831.625</v>
      </c>
      <c r="D128" s="1">
        <f ca="1">IFERROR(__xludf.DUMMYFUNCTION("""COMPUTED_VALUE"""),7550)</f>
        <v>7550</v>
      </c>
    </row>
    <row r="129" spans="1:4" x14ac:dyDescent="0.2">
      <c r="A129" s="2">
        <f ca="1">IFERROR(__xludf.DUMMYFUNCTION("""COMPUTED_VALUE"""),41834.625)</f>
        <v>41834.625</v>
      </c>
      <c r="B129" s="1">
        <f ca="1">IFERROR(__xludf.DUMMYFUNCTION("""COMPUTED_VALUE"""),7500)</f>
        <v>7500</v>
      </c>
      <c r="C129" s="2">
        <f ca="1">IFERROR(__xludf.DUMMYFUNCTION("""COMPUTED_VALUE"""),41834.625)</f>
        <v>41834.625</v>
      </c>
      <c r="D129" s="1">
        <f ca="1">IFERROR(__xludf.DUMMYFUNCTION("""COMPUTED_VALUE"""),7500)</f>
        <v>7500</v>
      </c>
    </row>
    <row r="130" spans="1:4" x14ac:dyDescent="0.2">
      <c r="A130" s="2">
        <f ca="1">IFERROR(__xludf.DUMMYFUNCTION("""COMPUTED_VALUE"""),41835.625)</f>
        <v>41835.625</v>
      </c>
      <c r="B130" s="1">
        <f ca="1">IFERROR(__xludf.DUMMYFUNCTION("""COMPUTED_VALUE"""),7600)</f>
        <v>7600</v>
      </c>
      <c r="C130" s="2">
        <f ca="1">IFERROR(__xludf.DUMMYFUNCTION("""COMPUTED_VALUE"""),41835.625)</f>
        <v>41835.625</v>
      </c>
      <c r="D130" s="1">
        <f ca="1">IFERROR(__xludf.DUMMYFUNCTION("""COMPUTED_VALUE"""),7600)</f>
        <v>7600</v>
      </c>
    </row>
    <row r="131" spans="1:4" x14ac:dyDescent="0.2">
      <c r="A131" s="2">
        <f ca="1">IFERROR(__xludf.DUMMYFUNCTION("""COMPUTED_VALUE"""),41836.625)</f>
        <v>41836.625</v>
      </c>
      <c r="B131" s="1">
        <f ca="1">IFERROR(__xludf.DUMMYFUNCTION("""COMPUTED_VALUE"""),7600)</f>
        <v>7600</v>
      </c>
      <c r="C131" s="2">
        <f ca="1">IFERROR(__xludf.DUMMYFUNCTION("""COMPUTED_VALUE"""),41836.625)</f>
        <v>41836.625</v>
      </c>
      <c r="D131" s="1">
        <f ca="1">IFERROR(__xludf.DUMMYFUNCTION("""COMPUTED_VALUE"""),7600)</f>
        <v>7600</v>
      </c>
    </row>
    <row r="132" spans="1:4" x14ac:dyDescent="0.2">
      <c r="A132" s="2">
        <f ca="1">IFERROR(__xludf.DUMMYFUNCTION("""COMPUTED_VALUE"""),41837.625)</f>
        <v>41837.625</v>
      </c>
      <c r="B132" s="1">
        <f ca="1">IFERROR(__xludf.DUMMYFUNCTION("""COMPUTED_VALUE"""),7600)</f>
        <v>7600</v>
      </c>
      <c r="C132" s="2">
        <f ca="1">IFERROR(__xludf.DUMMYFUNCTION("""COMPUTED_VALUE"""),41837.625)</f>
        <v>41837.625</v>
      </c>
      <c r="D132" s="1">
        <f ca="1">IFERROR(__xludf.DUMMYFUNCTION("""COMPUTED_VALUE"""),7600)</f>
        <v>7600</v>
      </c>
    </row>
    <row r="133" spans="1:4" x14ac:dyDescent="0.2">
      <c r="A133" s="2">
        <f ca="1">IFERROR(__xludf.DUMMYFUNCTION("""COMPUTED_VALUE"""),41838.625)</f>
        <v>41838.625</v>
      </c>
      <c r="B133" s="1">
        <f ca="1">IFERROR(__xludf.DUMMYFUNCTION("""COMPUTED_VALUE"""),7650)</f>
        <v>7650</v>
      </c>
      <c r="C133" s="2">
        <f ca="1">IFERROR(__xludf.DUMMYFUNCTION("""COMPUTED_VALUE"""),41838.625)</f>
        <v>41838.625</v>
      </c>
      <c r="D133" s="1">
        <f ca="1">IFERROR(__xludf.DUMMYFUNCTION("""COMPUTED_VALUE"""),7650)</f>
        <v>7650</v>
      </c>
    </row>
    <row r="134" spans="1:4" x14ac:dyDescent="0.2">
      <c r="A134" s="2">
        <f ca="1">IFERROR(__xludf.DUMMYFUNCTION("""COMPUTED_VALUE"""),41841.625)</f>
        <v>41841.625</v>
      </c>
      <c r="B134" s="1">
        <f ca="1">IFERROR(__xludf.DUMMYFUNCTION("""COMPUTED_VALUE"""),7725)</f>
        <v>7725</v>
      </c>
      <c r="C134" s="2">
        <f ca="1">IFERROR(__xludf.DUMMYFUNCTION("""COMPUTED_VALUE"""),41841.625)</f>
        <v>41841.625</v>
      </c>
      <c r="D134" s="1">
        <f ca="1">IFERROR(__xludf.DUMMYFUNCTION("""COMPUTED_VALUE"""),7725)</f>
        <v>7725</v>
      </c>
    </row>
    <row r="135" spans="1:4" x14ac:dyDescent="0.2">
      <c r="A135" s="2">
        <f ca="1">IFERROR(__xludf.DUMMYFUNCTION("""COMPUTED_VALUE"""),41842.625)</f>
        <v>41842.625</v>
      </c>
      <c r="B135" s="1">
        <f ca="1">IFERROR(__xludf.DUMMYFUNCTION("""COMPUTED_VALUE"""),7725)</f>
        <v>7725</v>
      </c>
      <c r="C135" s="2">
        <f ca="1">IFERROR(__xludf.DUMMYFUNCTION("""COMPUTED_VALUE"""),41842.625)</f>
        <v>41842.625</v>
      </c>
      <c r="D135" s="1">
        <f ca="1">IFERROR(__xludf.DUMMYFUNCTION("""COMPUTED_VALUE"""),7725)</f>
        <v>7725</v>
      </c>
    </row>
    <row r="136" spans="1:4" x14ac:dyDescent="0.2">
      <c r="A136" s="2">
        <f ca="1">IFERROR(__xludf.DUMMYFUNCTION("""COMPUTED_VALUE"""),41843.625)</f>
        <v>41843.625</v>
      </c>
      <c r="B136" s="1">
        <f ca="1">IFERROR(__xludf.DUMMYFUNCTION("""COMPUTED_VALUE"""),7700)</f>
        <v>7700</v>
      </c>
      <c r="C136" s="2">
        <f ca="1">IFERROR(__xludf.DUMMYFUNCTION("""COMPUTED_VALUE"""),41843.625)</f>
        <v>41843.625</v>
      </c>
      <c r="D136" s="1">
        <f ca="1">IFERROR(__xludf.DUMMYFUNCTION("""COMPUTED_VALUE"""),7700)</f>
        <v>7700</v>
      </c>
    </row>
    <row r="137" spans="1:4" x14ac:dyDescent="0.2">
      <c r="A137" s="2">
        <f ca="1">IFERROR(__xludf.DUMMYFUNCTION("""COMPUTED_VALUE"""),41844.625)</f>
        <v>41844.625</v>
      </c>
      <c r="B137" s="1">
        <f ca="1">IFERROR(__xludf.DUMMYFUNCTION("""COMPUTED_VALUE"""),7675)</f>
        <v>7675</v>
      </c>
      <c r="C137" s="2">
        <f ca="1">IFERROR(__xludf.DUMMYFUNCTION("""COMPUTED_VALUE"""),41844.625)</f>
        <v>41844.625</v>
      </c>
      <c r="D137" s="1">
        <f ca="1">IFERROR(__xludf.DUMMYFUNCTION("""COMPUTED_VALUE"""),7675)</f>
        <v>7675</v>
      </c>
    </row>
    <row r="138" spans="1:4" x14ac:dyDescent="0.2">
      <c r="A138" s="2">
        <f ca="1">IFERROR(__xludf.DUMMYFUNCTION("""COMPUTED_VALUE"""),41845.625)</f>
        <v>41845.625</v>
      </c>
      <c r="B138" s="1">
        <f ca="1">IFERROR(__xludf.DUMMYFUNCTION("""COMPUTED_VALUE"""),7725)</f>
        <v>7725</v>
      </c>
      <c r="C138" s="2">
        <f ca="1">IFERROR(__xludf.DUMMYFUNCTION("""COMPUTED_VALUE"""),41845.625)</f>
        <v>41845.625</v>
      </c>
      <c r="D138" s="1">
        <f ca="1">IFERROR(__xludf.DUMMYFUNCTION("""COMPUTED_VALUE"""),7725)</f>
        <v>7725</v>
      </c>
    </row>
    <row r="139" spans="1:4" x14ac:dyDescent="0.2">
      <c r="A139" s="2">
        <f ca="1">IFERROR(__xludf.DUMMYFUNCTION("""COMPUTED_VALUE"""),41855.625)</f>
        <v>41855.625</v>
      </c>
      <c r="B139" s="1">
        <f ca="1">IFERROR(__xludf.DUMMYFUNCTION("""COMPUTED_VALUE"""),7900)</f>
        <v>7900</v>
      </c>
      <c r="C139" s="2">
        <f ca="1">IFERROR(__xludf.DUMMYFUNCTION("""COMPUTED_VALUE"""),41855.625)</f>
        <v>41855.625</v>
      </c>
      <c r="D139" s="1">
        <f ca="1">IFERROR(__xludf.DUMMYFUNCTION("""COMPUTED_VALUE"""),7900)</f>
        <v>7900</v>
      </c>
    </row>
    <row r="140" spans="1:4" x14ac:dyDescent="0.2">
      <c r="A140" s="2">
        <f ca="1">IFERROR(__xludf.DUMMYFUNCTION("""COMPUTED_VALUE"""),41856.625)</f>
        <v>41856.625</v>
      </c>
      <c r="B140" s="1">
        <f ca="1">IFERROR(__xludf.DUMMYFUNCTION("""COMPUTED_VALUE"""),7800)</f>
        <v>7800</v>
      </c>
      <c r="C140" s="2">
        <f ca="1">IFERROR(__xludf.DUMMYFUNCTION("""COMPUTED_VALUE"""),41856.625)</f>
        <v>41856.625</v>
      </c>
      <c r="D140" s="1">
        <f ca="1">IFERROR(__xludf.DUMMYFUNCTION("""COMPUTED_VALUE"""),7800)</f>
        <v>7800</v>
      </c>
    </row>
    <row r="141" spans="1:4" x14ac:dyDescent="0.2">
      <c r="A141" s="2">
        <f ca="1">IFERROR(__xludf.DUMMYFUNCTION("""COMPUTED_VALUE"""),41857.625)</f>
        <v>41857.625</v>
      </c>
      <c r="B141" s="1">
        <f ca="1">IFERROR(__xludf.DUMMYFUNCTION("""COMPUTED_VALUE"""),7625)</f>
        <v>7625</v>
      </c>
      <c r="C141" s="2">
        <f ca="1">IFERROR(__xludf.DUMMYFUNCTION("""COMPUTED_VALUE"""),41857.625)</f>
        <v>41857.625</v>
      </c>
      <c r="D141" s="1">
        <f ca="1">IFERROR(__xludf.DUMMYFUNCTION("""COMPUTED_VALUE"""),7625)</f>
        <v>7625</v>
      </c>
    </row>
    <row r="142" spans="1:4" x14ac:dyDescent="0.2">
      <c r="A142" s="2">
        <f ca="1">IFERROR(__xludf.DUMMYFUNCTION("""COMPUTED_VALUE"""),41858.625)</f>
        <v>41858.625</v>
      </c>
      <c r="B142" s="1">
        <f ca="1">IFERROR(__xludf.DUMMYFUNCTION("""COMPUTED_VALUE"""),7675)</f>
        <v>7675</v>
      </c>
      <c r="C142" s="2">
        <f ca="1">IFERROR(__xludf.DUMMYFUNCTION("""COMPUTED_VALUE"""),41858.625)</f>
        <v>41858.625</v>
      </c>
      <c r="D142" s="1">
        <f ca="1">IFERROR(__xludf.DUMMYFUNCTION("""COMPUTED_VALUE"""),7675)</f>
        <v>7675</v>
      </c>
    </row>
    <row r="143" spans="1:4" x14ac:dyDescent="0.2">
      <c r="A143" s="2">
        <f ca="1">IFERROR(__xludf.DUMMYFUNCTION("""COMPUTED_VALUE"""),41859.625)</f>
        <v>41859.625</v>
      </c>
      <c r="B143" s="1">
        <f ca="1">IFERROR(__xludf.DUMMYFUNCTION("""COMPUTED_VALUE"""),7550)</f>
        <v>7550</v>
      </c>
      <c r="C143" s="2">
        <f ca="1">IFERROR(__xludf.DUMMYFUNCTION("""COMPUTED_VALUE"""),41859.625)</f>
        <v>41859.625</v>
      </c>
      <c r="D143" s="1">
        <f ca="1">IFERROR(__xludf.DUMMYFUNCTION("""COMPUTED_VALUE"""),7550)</f>
        <v>7550</v>
      </c>
    </row>
    <row r="144" spans="1:4" x14ac:dyDescent="0.2">
      <c r="A144" s="2">
        <f ca="1">IFERROR(__xludf.DUMMYFUNCTION("""COMPUTED_VALUE"""),41862.625)</f>
        <v>41862.625</v>
      </c>
      <c r="B144" s="1">
        <f ca="1">IFERROR(__xludf.DUMMYFUNCTION("""COMPUTED_VALUE"""),7650)</f>
        <v>7650</v>
      </c>
      <c r="C144" s="2">
        <f ca="1">IFERROR(__xludf.DUMMYFUNCTION("""COMPUTED_VALUE"""),41862.625)</f>
        <v>41862.625</v>
      </c>
      <c r="D144" s="1">
        <f ca="1">IFERROR(__xludf.DUMMYFUNCTION("""COMPUTED_VALUE"""),7650)</f>
        <v>7650</v>
      </c>
    </row>
    <row r="145" spans="1:4" x14ac:dyDescent="0.2">
      <c r="A145" s="2">
        <f ca="1">IFERROR(__xludf.DUMMYFUNCTION("""COMPUTED_VALUE"""),41863.625)</f>
        <v>41863.625</v>
      </c>
      <c r="B145" s="1">
        <f ca="1">IFERROR(__xludf.DUMMYFUNCTION("""COMPUTED_VALUE"""),7650)</f>
        <v>7650</v>
      </c>
      <c r="C145" s="2">
        <f ca="1">IFERROR(__xludf.DUMMYFUNCTION("""COMPUTED_VALUE"""),41863.625)</f>
        <v>41863.625</v>
      </c>
      <c r="D145" s="1">
        <f ca="1">IFERROR(__xludf.DUMMYFUNCTION("""COMPUTED_VALUE"""),7650)</f>
        <v>7650</v>
      </c>
    </row>
    <row r="146" spans="1:4" x14ac:dyDescent="0.2">
      <c r="A146" s="2">
        <f ca="1">IFERROR(__xludf.DUMMYFUNCTION("""COMPUTED_VALUE"""),41864.625)</f>
        <v>41864.625</v>
      </c>
      <c r="B146" s="1">
        <f ca="1">IFERROR(__xludf.DUMMYFUNCTION("""COMPUTED_VALUE"""),7725)</f>
        <v>7725</v>
      </c>
      <c r="C146" s="2">
        <f ca="1">IFERROR(__xludf.DUMMYFUNCTION("""COMPUTED_VALUE"""),41864.625)</f>
        <v>41864.625</v>
      </c>
      <c r="D146" s="1">
        <f ca="1">IFERROR(__xludf.DUMMYFUNCTION("""COMPUTED_VALUE"""),7725)</f>
        <v>7725</v>
      </c>
    </row>
    <row r="147" spans="1:4" x14ac:dyDescent="0.2">
      <c r="A147" s="2">
        <f ca="1">IFERROR(__xludf.DUMMYFUNCTION("""COMPUTED_VALUE"""),41865.625)</f>
        <v>41865.625</v>
      </c>
      <c r="B147" s="1">
        <f ca="1">IFERROR(__xludf.DUMMYFUNCTION("""COMPUTED_VALUE"""),7725)</f>
        <v>7725</v>
      </c>
      <c r="C147" s="2">
        <f ca="1">IFERROR(__xludf.DUMMYFUNCTION("""COMPUTED_VALUE"""),41865.625)</f>
        <v>41865.625</v>
      </c>
      <c r="D147" s="1">
        <f ca="1">IFERROR(__xludf.DUMMYFUNCTION("""COMPUTED_VALUE"""),7725)</f>
        <v>7725</v>
      </c>
    </row>
    <row r="148" spans="1:4" x14ac:dyDescent="0.2">
      <c r="A148" s="2">
        <f ca="1">IFERROR(__xludf.DUMMYFUNCTION("""COMPUTED_VALUE"""),41866.625)</f>
        <v>41866.625</v>
      </c>
      <c r="B148" s="1">
        <f ca="1">IFERROR(__xludf.DUMMYFUNCTION("""COMPUTED_VALUE"""),7650)</f>
        <v>7650</v>
      </c>
      <c r="C148" s="2">
        <f ca="1">IFERROR(__xludf.DUMMYFUNCTION("""COMPUTED_VALUE"""),41866.625)</f>
        <v>41866.625</v>
      </c>
      <c r="D148" s="1">
        <f ca="1">IFERROR(__xludf.DUMMYFUNCTION("""COMPUTED_VALUE"""),7650)</f>
        <v>7650</v>
      </c>
    </row>
    <row r="149" spans="1:4" x14ac:dyDescent="0.2">
      <c r="A149" s="2">
        <f ca="1">IFERROR(__xludf.DUMMYFUNCTION("""COMPUTED_VALUE"""),41869.625)</f>
        <v>41869.625</v>
      </c>
      <c r="B149" s="1">
        <f ca="1">IFERROR(__xludf.DUMMYFUNCTION("""COMPUTED_VALUE"""),7675)</f>
        <v>7675</v>
      </c>
      <c r="C149" s="2">
        <f ca="1">IFERROR(__xludf.DUMMYFUNCTION("""COMPUTED_VALUE"""),41869.625)</f>
        <v>41869.625</v>
      </c>
      <c r="D149" s="1">
        <f ca="1">IFERROR(__xludf.DUMMYFUNCTION("""COMPUTED_VALUE"""),7675)</f>
        <v>7675</v>
      </c>
    </row>
    <row r="150" spans="1:4" x14ac:dyDescent="0.2">
      <c r="A150" s="2">
        <f ca="1">IFERROR(__xludf.DUMMYFUNCTION("""COMPUTED_VALUE"""),41870.625)</f>
        <v>41870.625</v>
      </c>
      <c r="B150" s="1">
        <f ca="1">IFERROR(__xludf.DUMMYFUNCTION("""COMPUTED_VALUE"""),7675)</f>
        <v>7675</v>
      </c>
      <c r="C150" s="2">
        <f ca="1">IFERROR(__xludf.DUMMYFUNCTION("""COMPUTED_VALUE"""),41870.625)</f>
        <v>41870.625</v>
      </c>
      <c r="D150" s="1">
        <f ca="1">IFERROR(__xludf.DUMMYFUNCTION("""COMPUTED_VALUE"""),7675)</f>
        <v>7675</v>
      </c>
    </row>
    <row r="151" spans="1:4" x14ac:dyDescent="0.2">
      <c r="A151" s="2">
        <f ca="1">IFERROR(__xludf.DUMMYFUNCTION("""COMPUTED_VALUE"""),41871.625)</f>
        <v>41871.625</v>
      </c>
      <c r="B151" s="1">
        <f ca="1">IFERROR(__xludf.DUMMYFUNCTION("""COMPUTED_VALUE"""),7725)</f>
        <v>7725</v>
      </c>
      <c r="C151" s="2">
        <f ca="1">IFERROR(__xludf.DUMMYFUNCTION("""COMPUTED_VALUE"""),41871.625)</f>
        <v>41871.625</v>
      </c>
      <c r="D151" s="1">
        <f ca="1">IFERROR(__xludf.DUMMYFUNCTION("""COMPUTED_VALUE"""),7725)</f>
        <v>7725</v>
      </c>
    </row>
    <row r="152" spans="1:4" x14ac:dyDescent="0.2">
      <c r="A152" s="2">
        <f ca="1">IFERROR(__xludf.DUMMYFUNCTION("""COMPUTED_VALUE"""),41872.625)</f>
        <v>41872.625</v>
      </c>
      <c r="B152" s="1">
        <f ca="1">IFERROR(__xludf.DUMMYFUNCTION("""COMPUTED_VALUE"""),7775)</f>
        <v>7775</v>
      </c>
      <c r="C152" s="2">
        <f ca="1">IFERROR(__xludf.DUMMYFUNCTION("""COMPUTED_VALUE"""),41872.625)</f>
        <v>41872.625</v>
      </c>
      <c r="D152" s="1">
        <f ca="1">IFERROR(__xludf.DUMMYFUNCTION("""COMPUTED_VALUE"""),7775)</f>
        <v>7775</v>
      </c>
    </row>
    <row r="153" spans="1:4" x14ac:dyDescent="0.2">
      <c r="A153" s="2">
        <f ca="1">IFERROR(__xludf.DUMMYFUNCTION("""COMPUTED_VALUE"""),41873.625)</f>
        <v>41873.625</v>
      </c>
      <c r="B153" s="1">
        <f ca="1">IFERROR(__xludf.DUMMYFUNCTION("""COMPUTED_VALUE"""),7725)</f>
        <v>7725</v>
      </c>
      <c r="C153" s="2">
        <f ca="1">IFERROR(__xludf.DUMMYFUNCTION("""COMPUTED_VALUE"""),41873.625)</f>
        <v>41873.625</v>
      </c>
      <c r="D153" s="1">
        <f ca="1">IFERROR(__xludf.DUMMYFUNCTION("""COMPUTED_VALUE"""),7725)</f>
        <v>7725</v>
      </c>
    </row>
    <row r="154" spans="1:4" x14ac:dyDescent="0.2">
      <c r="A154" s="2">
        <f ca="1">IFERROR(__xludf.DUMMYFUNCTION("""COMPUTED_VALUE"""),41876.625)</f>
        <v>41876.625</v>
      </c>
      <c r="B154" s="1">
        <f ca="1">IFERROR(__xludf.DUMMYFUNCTION("""COMPUTED_VALUE"""),7625)</f>
        <v>7625</v>
      </c>
      <c r="C154" s="2">
        <f ca="1">IFERROR(__xludf.DUMMYFUNCTION("""COMPUTED_VALUE"""),41876.625)</f>
        <v>41876.625</v>
      </c>
      <c r="D154" s="1">
        <f ca="1">IFERROR(__xludf.DUMMYFUNCTION("""COMPUTED_VALUE"""),7625)</f>
        <v>7625</v>
      </c>
    </row>
    <row r="155" spans="1:4" x14ac:dyDescent="0.2">
      <c r="A155" s="2">
        <f ca="1">IFERROR(__xludf.DUMMYFUNCTION("""COMPUTED_VALUE"""),41877.625)</f>
        <v>41877.625</v>
      </c>
      <c r="B155" s="1">
        <f ca="1">IFERROR(__xludf.DUMMYFUNCTION("""COMPUTED_VALUE"""),7600)</f>
        <v>7600</v>
      </c>
      <c r="C155" s="2">
        <f ca="1">IFERROR(__xludf.DUMMYFUNCTION("""COMPUTED_VALUE"""),41877.625)</f>
        <v>41877.625</v>
      </c>
      <c r="D155" s="1">
        <f ca="1">IFERROR(__xludf.DUMMYFUNCTION("""COMPUTED_VALUE"""),7600)</f>
        <v>7600</v>
      </c>
    </row>
    <row r="156" spans="1:4" x14ac:dyDescent="0.2">
      <c r="A156" s="2">
        <f ca="1">IFERROR(__xludf.DUMMYFUNCTION("""COMPUTED_VALUE"""),41878.625)</f>
        <v>41878.625</v>
      </c>
      <c r="B156" s="1">
        <f ca="1">IFERROR(__xludf.DUMMYFUNCTION("""COMPUTED_VALUE"""),7600)</f>
        <v>7600</v>
      </c>
      <c r="C156" s="2">
        <f ca="1">IFERROR(__xludf.DUMMYFUNCTION("""COMPUTED_VALUE"""),41878.625)</f>
        <v>41878.625</v>
      </c>
      <c r="D156" s="1">
        <f ca="1">IFERROR(__xludf.DUMMYFUNCTION("""COMPUTED_VALUE"""),7600)</f>
        <v>7600</v>
      </c>
    </row>
    <row r="157" spans="1:4" x14ac:dyDescent="0.2">
      <c r="A157" s="2">
        <f ca="1">IFERROR(__xludf.DUMMYFUNCTION("""COMPUTED_VALUE"""),41879.625)</f>
        <v>41879.625</v>
      </c>
      <c r="B157" s="1">
        <f ca="1">IFERROR(__xludf.DUMMYFUNCTION("""COMPUTED_VALUE"""),7675)</f>
        <v>7675</v>
      </c>
      <c r="C157" s="2">
        <f ca="1">IFERROR(__xludf.DUMMYFUNCTION("""COMPUTED_VALUE"""),41879.625)</f>
        <v>41879.625</v>
      </c>
      <c r="D157" s="1">
        <f ca="1">IFERROR(__xludf.DUMMYFUNCTION("""COMPUTED_VALUE"""),7675)</f>
        <v>7675</v>
      </c>
    </row>
    <row r="158" spans="1:4" x14ac:dyDescent="0.2">
      <c r="A158" s="2">
        <f ca="1">IFERROR(__xludf.DUMMYFUNCTION("""COMPUTED_VALUE"""),41880.625)</f>
        <v>41880.625</v>
      </c>
      <c r="B158" s="1">
        <f ca="1">IFERROR(__xludf.DUMMYFUNCTION("""COMPUTED_VALUE"""),7575)</f>
        <v>7575</v>
      </c>
      <c r="C158" s="2">
        <f ca="1">IFERROR(__xludf.DUMMYFUNCTION("""COMPUTED_VALUE"""),41880.625)</f>
        <v>41880.625</v>
      </c>
      <c r="D158" s="1">
        <f ca="1">IFERROR(__xludf.DUMMYFUNCTION("""COMPUTED_VALUE"""),7575)</f>
        <v>7575</v>
      </c>
    </row>
    <row r="159" spans="1:4" x14ac:dyDescent="0.2">
      <c r="A159" s="2">
        <f ca="1">IFERROR(__xludf.DUMMYFUNCTION("""COMPUTED_VALUE"""),41883.625)</f>
        <v>41883.625</v>
      </c>
      <c r="B159" s="1">
        <f ca="1">IFERROR(__xludf.DUMMYFUNCTION("""COMPUTED_VALUE"""),7625)</f>
        <v>7625</v>
      </c>
      <c r="C159" s="2">
        <f ca="1">IFERROR(__xludf.DUMMYFUNCTION("""COMPUTED_VALUE"""),41883.625)</f>
        <v>41883.625</v>
      </c>
      <c r="D159" s="1">
        <f ca="1">IFERROR(__xludf.DUMMYFUNCTION("""COMPUTED_VALUE"""),7625)</f>
        <v>7625</v>
      </c>
    </row>
    <row r="160" spans="1:4" x14ac:dyDescent="0.2">
      <c r="A160" s="2">
        <f ca="1">IFERROR(__xludf.DUMMYFUNCTION("""COMPUTED_VALUE"""),41884.625)</f>
        <v>41884.625</v>
      </c>
      <c r="B160" s="1">
        <f ca="1">IFERROR(__xludf.DUMMYFUNCTION("""COMPUTED_VALUE"""),7725)</f>
        <v>7725</v>
      </c>
      <c r="C160" s="2">
        <f ca="1">IFERROR(__xludf.DUMMYFUNCTION("""COMPUTED_VALUE"""),41884.625)</f>
        <v>41884.625</v>
      </c>
      <c r="D160" s="1">
        <f ca="1">IFERROR(__xludf.DUMMYFUNCTION("""COMPUTED_VALUE"""),7725)</f>
        <v>7725</v>
      </c>
    </row>
    <row r="161" spans="1:4" x14ac:dyDescent="0.2">
      <c r="A161" s="2">
        <f ca="1">IFERROR(__xludf.DUMMYFUNCTION("""COMPUTED_VALUE"""),41885.625)</f>
        <v>41885.625</v>
      </c>
      <c r="B161" s="1">
        <f ca="1">IFERROR(__xludf.DUMMYFUNCTION("""COMPUTED_VALUE"""),7675)</f>
        <v>7675</v>
      </c>
      <c r="C161" s="2">
        <f ca="1">IFERROR(__xludf.DUMMYFUNCTION("""COMPUTED_VALUE"""),41885.625)</f>
        <v>41885.625</v>
      </c>
      <c r="D161" s="1">
        <f ca="1">IFERROR(__xludf.DUMMYFUNCTION("""COMPUTED_VALUE"""),7675)</f>
        <v>7675</v>
      </c>
    </row>
    <row r="162" spans="1:4" x14ac:dyDescent="0.2">
      <c r="A162" s="2">
        <f ca="1">IFERROR(__xludf.DUMMYFUNCTION("""COMPUTED_VALUE"""),41886.625)</f>
        <v>41886.625</v>
      </c>
      <c r="B162" s="1">
        <f ca="1">IFERROR(__xludf.DUMMYFUNCTION("""COMPUTED_VALUE"""),7550)</f>
        <v>7550</v>
      </c>
      <c r="C162" s="2">
        <f ca="1">IFERROR(__xludf.DUMMYFUNCTION("""COMPUTED_VALUE"""),41886.625)</f>
        <v>41886.625</v>
      </c>
      <c r="D162" s="1">
        <f ca="1">IFERROR(__xludf.DUMMYFUNCTION("""COMPUTED_VALUE"""),7550)</f>
        <v>7550</v>
      </c>
    </row>
    <row r="163" spans="1:4" x14ac:dyDescent="0.2">
      <c r="A163" s="2">
        <f ca="1">IFERROR(__xludf.DUMMYFUNCTION("""COMPUTED_VALUE"""),41887.625)</f>
        <v>41887.625</v>
      </c>
      <c r="B163" s="1">
        <f ca="1">IFERROR(__xludf.DUMMYFUNCTION("""COMPUTED_VALUE"""),7650)</f>
        <v>7650</v>
      </c>
      <c r="C163" s="2">
        <f ca="1">IFERROR(__xludf.DUMMYFUNCTION("""COMPUTED_VALUE"""),41887.625)</f>
        <v>41887.625</v>
      </c>
      <c r="D163" s="1">
        <f ca="1">IFERROR(__xludf.DUMMYFUNCTION("""COMPUTED_VALUE"""),7650)</f>
        <v>7650</v>
      </c>
    </row>
    <row r="164" spans="1:4" x14ac:dyDescent="0.2">
      <c r="A164" s="2">
        <f ca="1">IFERROR(__xludf.DUMMYFUNCTION("""COMPUTED_VALUE"""),41890.625)</f>
        <v>41890.625</v>
      </c>
      <c r="B164" s="1">
        <f ca="1">IFERROR(__xludf.DUMMYFUNCTION("""COMPUTED_VALUE"""),7575)</f>
        <v>7575</v>
      </c>
      <c r="C164" s="2">
        <f ca="1">IFERROR(__xludf.DUMMYFUNCTION("""COMPUTED_VALUE"""),41890.625)</f>
        <v>41890.625</v>
      </c>
      <c r="D164" s="1">
        <f ca="1">IFERROR(__xludf.DUMMYFUNCTION("""COMPUTED_VALUE"""),7575)</f>
        <v>7575</v>
      </c>
    </row>
    <row r="165" spans="1:4" x14ac:dyDescent="0.2">
      <c r="A165" s="2">
        <f ca="1">IFERROR(__xludf.DUMMYFUNCTION("""COMPUTED_VALUE"""),41891.625)</f>
        <v>41891.625</v>
      </c>
      <c r="B165" s="1">
        <f ca="1">IFERROR(__xludf.DUMMYFUNCTION("""COMPUTED_VALUE"""),7500)</f>
        <v>7500</v>
      </c>
      <c r="C165" s="2">
        <f ca="1">IFERROR(__xludf.DUMMYFUNCTION("""COMPUTED_VALUE"""),41891.625)</f>
        <v>41891.625</v>
      </c>
      <c r="D165" s="1">
        <f ca="1">IFERROR(__xludf.DUMMYFUNCTION("""COMPUTED_VALUE"""),7500)</f>
        <v>7500</v>
      </c>
    </row>
    <row r="166" spans="1:4" x14ac:dyDescent="0.2">
      <c r="A166" s="2">
        <f ca="1">IFERROR(__xludf.DUMMYFUNCTION("""COMPUTED_VALUE"""),41892.625)</f>
        <v>41892.625</v>
      </c>
      <c r="B166" s="1">
        <f ca="1">IFERROR(__xludf.DUMMYFUNCTION("""COMPUTED_VALUE"""),7325)</f>
        <v>7325</v>
      </c>
      <c r="C166" s="2">
        <f ca="1">IFERROR(__xludf.DUMMYFUNCTION("""COMPUTED_VALUE"""),41892.625)</f>
        <v>41892.625</v>
      </c>
      <c r="D166" s="1">
        <f ca="1">IFERROR(__xludf.DUMMYFUNCTION("""COMPUTED_VALUE"""),7325)</f>
        <v>7325</v>
      </c>
    </row>
    <row r="167" spans="1:4" x14ac:dyDescent="0.2">
      <c r="A167" s="2">
        <f ca="1">IFERROR(__xludf.DUMMYFUNCTION("""COMPUTED_VALUE"""),41893.625)</f>
        <v>41893.625</v>
      </c>
      <c r="B167" s="1">
        <f ca="1">IFERROR(__xludf.DUMMYFUNCTION("""COMPUTED_VALUE"""),7250)</f>
        <v>7250</v>
      </c>
      <c r="C167" s="2">
        <f ca="1">IFERROR(__xludf.DUMMYFUNCTION("""COMPUTED_VALUE"""),41893.625)</f>
        <v>41893.625</v>
      </c>
      <c r="D167" s="1">
        <f ca="1">IFERROR(__xludf.DUMMYFUNCTION("""COMPUTED_VALUE"""),7250)</f>
        <v>7250</v>
      </c>
    </row>
    <row r="168" spans="1:4" x14ac:dyDescent="0.2">
      <c r="A168" s="2">
        <f ca="1">IFERROR(__xludf.DUMMYFUNCTION("""COMPUTED_VALUE"""),41894.625)</f>
        <v>41894.625</v>
      </c>
      <c r="B168" s="1">
        <f ca="1">IFERROR(__xludf.DUMMYFUNCTION("""COMPUTED_VALUE"""),7225)</f>
        <v>7225</v>
      </c>
      <c r="C168" s="2">
        <f ca="1">IFERROR(__xludf.DUMMYFUNCTION("""COMPUTED_VALUE"""),41894.625)</f>
        <v>41894.625</v>
      </c>
      <c r="D168" s="1">
        <f ca="1">IFERROR(__xludf.DUMMYFUNCTION("""COMPUTED_VALUE"""),7225)</f>
        <v>7225</v>
      </c>
    </row>
    <row r="169" spans="1:4" x14ac:dyDescent="0.2">
      <c r="A169" s="2">
        <f ca="1">IFERROR(__xludf.DUMMYFUNCTION("""COMPUTED_VALUE"""),41897.625)</f>
        <v>41897.625</v>
      </c>
      <c r="B169" s="1">
        <f ca="1">IFERROR(__xludf.DUMMYFUNCTION("""COMPUTED_VALUE"""),7300)</f>
        <v>7300</v>
      </c>
      <c r="C169" s="2">
        <f ca="1">IFERROR(__xludf.DUMMYFUNCTION("""COMPUTED_VALUE"""),41897.625)</f>
        <v>41897.625</v>
      </c>
      <c r="D169" s="1">
        <f ca="1">IFERROR(__xludf.DUMMYFUNCTION("""COMPUTED_VALUE"""),7300)</f>
        <v>7300</v>
      </c>
    </row>
    <row r="170" spans="1:4" x14ac:dyDescent="0.2">
      <c r="A170" s="2">
        <f ca="1">IFERROR(__xludf.DUMMYFUNCTION("""COMPUTED_VALUE"""),41898.625)</f>
        <v>41898.625</v>
      </c>
      <c r="B170" s="1">
        <f ca="1">IFERROR(__xludf.DUMMYFUNCTION("""COMPUTED_VALUE"""),7250)</f>
        <v>7250</v>
      </c>
      <c r="C170" s="2">
        <f ca="1">IFERROR(__xludf.DUMMYFUNCTION("""COMPUTED_VALUE"""),41898.625)</f>
        <v>41898.625</v>
      </c>
      <c r="D170" s="1">
        <f ca="1">IFERROR(__xludf.DUMMYFUNCTION("""COMPUTED_VALUE"""),7250)</f>
        <v>7250</v>
      </c>
    </row>
    <row r="171" spans="1:4" x14ac:dyDescent="0.2">
      <c r="A171" s="2">
        <f ca="1">IFERROR(__xludf.DUMMYFUNCTION("""COMPUTED_VALUE"""),41899.625)</f>
        <v>41899.625</v>
      </c>
      <c r="B171" s="1">
        <f ca="1">IFERROR(__xludf.DUMMYFUNCTION("""COMPUTED_VALUE"""),7275)</f>
        <v>7275</v>
      </c>
      <c r="C171" s="2">
        <f ca="1">IFERROR(__xludf.DUMMYFUNCTION("""COMPUTED_VALUE"""),41899.625)</f>
        <v>41899.625</v>
      </c>
      <c r="D171" s="1">
        <f ca="1">IFERROR(__xludf.DUMMYFUNCTION("""COMPUTED_VALUE"""),7275)</f>
        <v>7275</v>
      </c>
    </row>
    <row r="172" spans="1:4" x14ac:dyDescent="0.2">
      <c r="A172" s="2">
        <f ca="1">IFERROR(__xludf.DUMMYFUNCTION("""COMPUTED_VALUE"""),41900.625)</f>
        <v>41900.625</v>
      </c>
      <c r="B172" s="1">
        <f ca="1">IFERROR(__xludf.DUMMYFUNCTION("""COMPUTED_VALUE"""),7375)</f>
        <v>7375</v>
      </c>
      <c r="C172" s="2">
        <f ca="1">IFERROR(__xludf.DUMMYFUNCTION("""COMPUTED_VALUE"""),41900.625)</f>
        <v>41900.625</v>
      </c>
      <c r="D172" s="1">
        <f ca="1">IFERROR(__xludf.DUMMYFUNCTION("""COMPUTED_VALUE"""),7375)</f>
        <v>7375</v>
      </c>
    </row>
    <row r="173" spans="1:4" x14ac:dyDescent="0.2">
      <c r="A173" s="2">
        <f ca="1">IFERROR(__xludf.DUMMYFUNCTION("""COMPUTED_VALUE"""),41901.625)</f>
        <v>41901.625</v>
      </c>
      <c r="B173" s="1">
        <f ca="1">IFERROR(__xludf.DUMMYFUNCTION("""COMPUTED_VALUE"""),7350)</f>
        <v>7350</v>
      </c>
      <c r="C173" s="2">
        <f ca="1">IFERROR(__xludf.DUMMYFUNCTION("""COMPUTED_VALUE"""),41901.625)</f>
        <v>41901.625</v>
      </c>
      <c r="D173" s="1">
        <f ca="1">IFERROR(__xludf.DUMMYFUNCTION("""COMPUTED_VALUE"""),7350)</f>
        <v>7350</v>
      </c>
    </row>
    <row r="174" spans="1:4" x14ac:dyDescent="0.2">
      <c r="A174" s="2">
        <f ca="1">IFERROR(__xludf.DUMMYFUNCTION("""COMPUTED_VALUE"""),41904.625)</f>
        <v>41904.625</v>
      </c>
      <c r="B174" s="1">
        <f ca="1">IFERROR(__xludf.DUMMYFUNCTION("""COMPUTED_VALUE"""),7350)</f>
        <v>7350</v>
      </c>
      <c r="C174" s="2">
        <f ca="1">IFERROR(__xludf.DUMMYFUNCTION("""COMPUTED_VALUE"""),41904.625)</f>
        <v>41904.625</v>
      </c>
      <c r="D174" s="1">
        <f ca="1">IFERROR(__xludf.DUMMYFUNCTION("""COMPUTED_VALUE"""),7350)</f>
        <v>7350</v>
      </c>
    </row>
    <row r="175" spans="1:4" x14ac:dyDescent="0.2">
      <c r="A175" s="2">
        <f ca="1">IFERROR(__xludf.DUMMYFUNCTION("""COMPUTED_VALUE"""),41905.625)</f>
        <v>41905.625</v>
      </c>
      <c r="B175" s="1">
        <f ca="1">IFERROR(__xludf.DUMMYFUNCTION("""COMPUTED_VALUE"""),7250)</f>
        <v>7250</v>
      </c>
      <c r="C175" s="2">
        <f ca="1">IFERROR(__xludf.DUMMYFUNCTION("""COMPUTED_VALUE"""),41905.625)</f>
        <v>41905.625</v>
      </c>
      <c r="D175" s="1">
        <f ca="1">IFERROR(__xludf.DUMMYFUNCTION("""COMPUTED_VALUE"""),7250)</f>
        <v>7250</v>
      </c>
    </row>
    <row r="176" spans="1:4" x14ac:dyDescent="0.2">
      <c r="A176" s="2">
        <f ca="1">IFERROR(__xludf.DUMMYFUNCTION("""COMPUTED_VALUE"""),41906.625)</f>
        <v>41906.625</v>
      </c>
      <c r="B176" s="1">
        <f ca="1">IFERROR(__xludf.DUMMYFUNCTION("""COMPUTED_VALUE"""),7200)</f>
        <v>7200</v>
      </c>
      <c r="C176" s="2">
        <f ca="1">IFERROR(__xludf.DUMMYFUNCTION("""COMPUTED_VALUE"""),41906.625)</f>
        <v>41906.625</v>
      </c>
      <c r="D176" s="1">
        <f ca="1">IFERROR(__xludf.DUMMYFUNCTION("""COMPUTED_VALUE"""),7200)</f>
        <v>7200</v>
      </c>
    </row>
    <row r="177" spans="1:4" x14ac:dyDescent="0.2">
      <c r="A177" s="2">
        <f ca="1">IFERROR(__xludf.DUMMYFUNCTION("""COMPUTED_VALUE"""),41907.625)</f>
        <v>41907.625</v>
      </c>
      <c r="B177" s="1">
        <f ca="1">IFERROR(__xludf.DUMMYFUNCTION("""COMPUTED_VALUE"""),7175)</f>
        <v>7175</v>
      </c>
      <c r="C177" s="2">
        <f ca="1">IFERROR(__xludf.DUMMYFUNCTION("""COMPUTED_VALUE"""),41907.625)</f>
        <v>41907.625</v>
      </c>
      <c r="D177" s="1">
        <f ca="1">IFERROR(__xludf.DUMMYFUNCTION("""COMPUTED_VALUE"""),7175)</f>
        <v>7175</v>
      </c>
    </row>
    <row r="178" spans="1:4" x14ac:dyDescent="0.2">
      <c r="A178" s="2">
        <f ca="1">IFERROR(__xludf.DUMMYFUNCTION("""COMPUTED_VALUE"""),41908.625)</f>
        <v>41908.625</v>
      </c>
      <c r="B178" s="1">
        <f ca="1">IFERROR(__xludf.DUMMYFUNCTION("""COMPUTED_VALUE"""),7000)</f>
        <v>7000</v>
      </c>
      <c r="C178" s="2">
        <f ca="1">IFERROR(__xludf.DUMMYFUNCTION("""COMPUTED_VALUE"""),41908.625)</f>
        <v>41908.625</v>
      </c>
      <c r="D178" s="1">
        <f ca="1">IFERROR(__xludf.DUMMYFUNCTION("""COMPUTED_VALUE"""),7000)</f>
        <v>7000</v>
      </c>
    </row>
    <row r="179" spans="1:4" x14ac:dyDescent="0.2">
      <c r="A179" s="2">
        <f ca="1">IFERROR(__xludf.DUMMYFUNCTION("""COMPUTED_VALUE"""),41911.625)</f>
        <v>41911.625</v>
      </c>
      <c r="B179" s="1">
        <f ca="1">IFERROR(__xludf.DUMMYFUNCTION("""COMPUTED_VALUE"""),7050)</f>
        <v>7050</v>
      </c>
      <c r="C179" s="2">
        <f ca="1">IFERROR(__xludf.DUMMYFUNCTION("""COMPUTED_VALUE"""),41911.625)</f>
        <v>41911.625</v>
      </c>
      <c r="D179" s="1">
        <f ca="1">IFERROR(__xludf.DUMMYFUNCTION("""COMPUTED_VALUE"""),7050)</f>
        <v>7050</v>
      </c>
    </row>
    <row r="180" spans="1:4" x14ac:dyDescent="0.2">
      <c r="A180" s="2">
        <f ca="1">IFERROR(__xludf.DUMMYFUNCTION("""COMPUTED_VALUE"""),41912.625)</f>
        <v>41912.625</v>
      </c>
      <c r="B180" s="1">
        <f ca="1">IFERROR(__xludf.DUMMYFUNCTION("""COMPUTED_VALUE"""),7050)</f>
        <v>7050</v>
      </c>
      <c r="C180" s="2">
        <f ca="1">IFERROR(__xludf.DUMMYFUNCTION("""COMPUTED_VALUE"""),41912.625)</f>
        <v>41912.625</v>
      </c>
      <c r="D180" s="1">
        <f ca="1">IFERROR(__xludf.DUMMYFUNCTION("""COMPUTED_VALUE"""),7050)</f>
        <v>7050</v>
      </c>
    </row>
    <row r="181" spans="1:4" x14ac:dyDescent="0.2">
      <c r="A181" s="2">
        <f ca="1">IFERROR(__xludf.DUMMYFUNCTION("""COMPUTED_VALUE"""),41913.625)</f>
        <v>41913.625</v>
      </c>
      <c r="B181" s="1">
        <f ca="1">IFERROR(__xludf.DUMMYFUNCTION("""COMPUTED_VALUE"""),7000)</f>
        <v>7000</v>
      </c>
      <c r="C181" s="2">
        <f ca="1">IFERROR(__xludf.DUMMYFUNCTION("""COMPUTED_VALUE"""),41913.625)</f>
        <v>41913.625</v>
      </c>
      <c r="D181" s="1">
        <f ca="1">IFERROR(__xludf.DUMMYFUNCTION("""COMPUTED_VALUE"""),7000)</f>
        <v>7000</v>
      </c>
    </row>
    <row r="182" spans="1:4" x14ac:dyDescent="0.2">
      <c r="A182" s="2">
        <f ca="1">IFERROR(__xludf.DUMMYFUNCTION("""COMPUTED_VALUE"""),41914.625)</f>
        <v>41914.625</v>
      </c>
      <c r="B182" s="1">
        <f ca="1">IFERROR(__xludf.DUMMYFUNCTION("""COMPUTED_VALUE"""),6600)</f>
        <v>6600</v>
      </c>
      <c r="C182" s="2">
        <f ca="1">IFERROR(__xludf.DUMMYFUNCTION("""COMPUTED_VALUE"""),41914.625)</f>
        <v>41914.625</v>
      </c>
      <c r="D182" s="1">
        <f ca="1">IFERROR(__xludf.DUMMYFUNCTION("""COMPUTED_VALUE"""),6600)</f>
        <v>6600</v>
      </c>
    </row>
    <row r="183" spans="1:4" x14ac:dyDescent="0.2">
      <c r="A183" s="2">
        <f ca="1">IFERROR(__xludf.DUMMYFUNCTION("""COMPUTED_VALUE"""),41915.625)</f>
        <v>41915.625</v>
      </c>
      <c r="B183" s="1">
        <f ca="1">IFERROR(__xludf.DUMMYFUNCTION("""COMPUTED_VALUE"""),6600)</f>
        <v>6600</v>
      </c>
      <c r="C183" s="2">
        <f ca="1">IFERROR(__xludf.DUMMYFUNCTION("""COMPUTED_VALUE"""),41915.625)</f>
        <v>41915.625</v>
      </c>
      <c r="D183" s="1">
        <f ca="1">IFERROR(__xludf.DUMMYFUNCTION("""COMPUTED_VALUE"""),6600)</f>
        <v>6600</v>
      </c>
    </row>
    <row r="184" spans="1:4" x14ac:dyDescent="0.2">
      <c r="A184" s="2">
        <f ca="1">IFERROR(__xludf.DUMMYFUNCTION("""COMPUTED_VALUE"""),41918.625)</f>
        <v>41918.625</v>
      </c>
      <c r="B184" s="1">
        <f ca="1">IFERROR(__xludf.DUMMYFUNCTION("""COMPUTED_VALUE"""),6725)</f>
        <v>6725</v>
      </c>
      <c r="C184" s="2">
        <f ca="1">IFERROR(__xludf.DUMMYFUNCTION("""COMPUTED_VALUE"""),41918.625)</f>
        <v>41918.625</v>
      </c>
      <c r="D184" s="1">
        <f ca="1">IFERROR(__xludf.DUMMYFUNCTION("""COMPUTED_VALUE"""),6725)</f>
        <v>6725</v>
      </c>
    </row>
    <row r="185" spans="1:4" x14ac:dyDescent="0.2">
      <c r="A185" s="2">
        <f ca="1">IFERROR(__xludf.DUMMYFUNCTION("""COMPUTED_VALUE"""),41919.625)</f>
        <v>41919.625</v>
      </c>
      <c r="B185" s="1">
        <f ca="1">IFERROR(__xludf.DUMMYFUNCTION("""COMPUTED_VALUE"""),6800)</f>
        <v>6800</v>
      </c>
      <c r="C185" s="2">
        <f ca="1">IFERROR(__xludf.DUMMYFUNCTION("""COMPUTED_VALUE"""),41919.625)</f>
        <v>41919.625</v>
      </c>
      <c r="D185" s="1">
        <f ca="1">IFERROR(__xludf.DUMMYFUNCTION("""COMPUTED_VALUE"""),6800)</f>
        <v>6800</v>
      </c>
    </row>
    <row r="186" spans="1:4" x14ac:dyDescent="0.2">
      <c r="A186" s="2">
        <f ca="1">IFERROR(__xludf.DUMMYFUNCTION("""COMPUTED_VALUE"""),41920.625)</f>
        <v>41920.625</v>
      </c>
      <c r="B186" s="1">
        <f ca="1">IFERROR(__xludf.DUMMYFUNCTION("""COMPUTED_VALUE"""),6700)</f>
        <v>6700</v>
      </c>
      <c r="C186" s="2">
        <f ca="1">IFERROR(__xludf.DUMMYFUNCTION("""COMPUTED_VALUE"""),41920.625)</f>
        <v>41920.625</v>
      </c>
      <c r="D186" s="1">
        <f ca="1">IFERROR(__xludf.DUMMYFUNCTION("""COMPUTED_VALUE"""),6700)</f>
        <v>6700</v>
      </c>
    </row>
    <row r="187" spans="1:4" x14ac:dyDescent="0.2">
      <c r="A187" s="2">
        <f ca="1">IFERROR(__xludf.DUMMYFUNCTION("""COMPUTED_VALUE"""),41921.625)</f>
        <v>41921.625</v>
      </c>
      <c r="B187" s="1">
        <f ca="1">IFERROR(__xludf.DUMMYFUNCTION("""COMPUTED_VALUE"""),6725)</f>
        <v>6725</v>
      </c>
      <c r="C187" s="2">
        <f ca="1">IFERROR(__xludf.DUMMYFUNCTION("""COMPUTED_VALUE"""),41921.625)</f>
        <v>41921.625</v>
      </c>
      <c r="D187" s="1">
        <f ca="1">IFERROR(__xludf.DUMMYFUNCTION("""COMPUTED_VALUE"""),6725)</f>
        <v>6725</v>
      </c>
    </row>
    <row r="188" spans="1:4" x14ac:dyDescent="0.2">
      <c r="A188" s="2">
        <f ca="1">IFERROR(__xludf.DUMMYFUNCTION("""COMPUTED_VALUE"""),41922.625)</f>
        <v>41922.625</v>
      </c>
      <c r="B188" s="1">
        <f ca="1">IFERROR(__xludf.DUMMYFUNCTION("""COMPUTED_VALUE"""),6500)</f>
        <v>6500</v>
      </c>
      <c r="C188" s="2">
        <f ca="1">IFERROR(__xludf.DUMMYFUNCTION("""COMPUTED_VALUE"""),41922.625)</f>
        <v>41922.625</v>
      </c>
      <c r="D188" s="1">
        <f ca="1">IFERROR(__xludf.DUMMYFUNCTION("""COMPUTED_VALUE"""),6500)</f>
        <v>6500</v>
      </c>
    </row>
    <row r="189" spans="1:4" x14ac:dyDescent="0.2">
      <c r="A189" s="2">
        <f ca="1">IFERROR(__xludf.DUMMYFUNCTION("""COMPUTED_VALUE"""),41925.625)</f>
        <v>41925.625</v>
      </c>
      <c r="B189" s="1">
        <f ca="1">IFERROR(__xludf.DUMMYFUNCTION("""COMPUTED_VALUE"""),6350)</f>
        <v>6350</v>
      </c>
      <c r="C189" s="2">
        <f ca="1">IFERROR(__xludf.DUMMYFUNCTION("""COMPUTED_VALUE"""),41925.625)</f>
        <v>41925.625</v>
      </c>
      <c r="D189" s="1">
        <f ca="1">IFERROR(__xludf.DUMMYFUNCTION("""COMPUTED_VALUE"""),6350)</f>
        <v>6350</v>
      </c>
    </row>
    <row r="190" spans="1:4" x14ac:dyDescent="0.2">
      <c r="A190" s="2">
        <f ca="1">IFERROR(__xludf.DUMMYFUNCTION("""COMPUTED_VALUE"""),41926.625)</f>
        <v>41926.625</v>
      </c>
      <c r="B190" s="1">
        <f ca="1">IFERROR(__xludf.DUMMYFUNCTION("""COMPUTED_VALUE"""),6400)</f>
        <v>6400</v>
      </c>
      <c r="C190" s="2">
        <f ca="1">IFERROR(__xludf.DUMMYFUNCTION("""COMPUTED_VALUE"""),41926.625)</f>
        <v>41926.625</v>
      </c>
      <c r="D190" s="1">
        <f ca="1">IFERROR(__xludf.DUMMYFUNCTION("""COMPUTED_VALUE"""),6400)</f>
        <v>6400</v>
      </c>
    </row>
    <row r="191" spans="1:4" x14ac:dyDescent="0.2">
      <c r="A191" s="2">
        <f ca="1">IFERROR(__xludf.DUMMYFUNCTION("""COMPUTED_VALUE"""),41927.625)</f>
        <v>41927.625</v>
      </c>
      <c r="B191" s="1">
        <f ca="1">IFERROR(__xludf.DUMMYFUNCTION("""COMPUTED_VALUE"""),6400)</f>
        <v>6400</v>
      </c>
      <c r="C191" s="2">
        <f ca="1">IFERROR(__xludf.DUMMYFUNCTION("""COMPUTED_VALUE"""),41927.625)</f>
        <v>41927.625</v>
      </c>
      <c r="D191" s="1">
        <f ca="1">IFERROR(__xludf.DUMMYFUNCTION("""COMPUTED_VALUE"""),6400)</f>
        <v>6400</v>
      </c>
    </row>
    <row r="192" spans="1:4" x14ac:dyDescent="0.2">
      <c r="A192" s="2">
        <f ca="1">IFERROR(__xludf.DUMMYFUNCTION("""COMPUTED_VALUE"""),41928.625)</f>
        <v>41928.625</v>
      </c>
      <c r="B192" s="1">
        <f ca="1">IFERROR(__xludf.DUMMYFUNCTION("""COMPUTED_VALUE"""),6350)</f>
        <v>6350</v>
      </c>
      <c r="C192" s="2">
        <f ca="1">IFERROR(__xludf.DUMMYFUNCTION("""COMPUTED_VALUE"""),41928.625)</f>
        <v>41928.625</v>
      </c>
      <c r="D192" s="1">
        <f ca="1">IFERROR(__xludf.DUMMYFUNCTION("""COMPUTED_VALUE"""),6350)</f>
        <v>6350</v>
      </c>
    </row>
    <row r="193" spans="1:4" x14ac:dyDescent="0.2">
      <c r="A193" s="2">
        <f ca="1">IFERROR(__xludf.DUMMYFUNCTION("""COMPUTED_VALUE"""),41929.625)</f>
        <v>41929.625</v>
      </c>
      <c r="B193" s="1">
        <f ca="1">IFERROR(__xludf.DUMMYFUNCTION("""COMPUTED_VALUE"""),6550)</f>
        <v>6550</v>
      </c>
      <c r="C193" s="2">
        <f ca="1">IFERROR(__xludf.DUMMYFUNCTION("""COMPUTED_VALUE"""),41929.625)</f>
        <v>41929.625</v>
      </c>
      <c r="D193" s="1">
        <f ca="1">IFERROR(__xludf.DUMMYFUNCTION("""COMPUTED_VALUE"""),6550)</f>
        <v>6550</v>
      </c>
    </row>
    <row r="194" spans="1:4" x14ac:dyDescent="0.2">
      <c r="A194" s="2">
        <f ca="1">IFERROR(__xludf.DUMMYFUNCTION("""COMPUTED_VALUE"""),41932.625)</f>
        <v>41932.625</v>
      </c>
      <c r="B194" s="1">
        <f ca="1">IFERROR(__xludf.DUMMYFUNCTION("""COMPUTED_VALUE"""),6600)</f>
        <v>6600</v>
      </c>
      <c r="C194" s="2">
        <f ca="1">IFERROR(__xludf.DUMMYFUNCTION("""COMPUTED_VALUE"""),41932.625)</f>
        <v>41932.625</v>
      </c>
      <c r="D194" s="1">
        <f ca="1">IFERROR(__xludf.DUMMYFUNCTION("""COMPUTED_VALUE"""),6600)</f>
        <v>6600</v>
      </c>
    </row>
    <row r="195" spans="1:4" x14ac:dyDescent="0.2">
      <c r="A195" s="2">
        <f ca="1">IFERROR(__xludf.DUMMYFUNCTION("""COMPUTED_VALUE"""),41933.625)</f>
        <v>41933.625</v>
      </c>
      <c r="B195" s="1">
        <f ca="1">IFERROR(__xludf.DUMMYFUNCTION("""COMPUTED_VALUE"""),6500)</f>
        <v>6500</v>
      </c>
      <c r="C195" s="2">
        <f ca="1">IFERROR(__xludf.DUMMYFUNCTION("""COMPUTED_VALUE"""),41933.625)</f>
        <v>41933.625</v>
      </c>
      <c r="D195" s="1">
        <f ca="1">IFERROR(__xludf.DUMMYFUNCTION("""COMPUTED_VALUE"""),6500)</f>
        <v>6500</v>
      </c>
    </row>
    <row r="196" spans="1:4" x14ac:dyDescent="0.2">
      <c r="A196" s="2">
        <f ca="1">IFERROR(__xludf.DUMMYFUNCTION("""COMPUTED_VALUE"""),41934.625)</f>
        <v>41934.625</v>
      </c>
      <c r="B196" s="1">
        <f ca="1">IFERROR(__xludf.DUMMYFUNCTION("""COMPUTED_VALUE"""),6550)</f>
        <v>6550</v>
      </c>
      <c r="C196" s="2">
        <f ca="1">IFERROR(__xludf.DUMMYFUNCTION("""COMPUTED_VALUE"""),41934.625)</f>
        <v>41934.625</v>
      </c>
      <c r="D196" s="1">
        <f ca="1">IFERROR(__xludf.DUMMYFUNCTION("""COMPUTED_VALUE"""),6550)</f>
        <v>6550</v>
      </c>
    </row>
    <row r="197" spans="1:4" x14ac:dyDescent="0.2">
      <c r="A197" s="2">
        <f ca="1">IFERROR(__xludf.DUMMYFUNCTION("""COMPUTED_VALUE"""),41935.625)</f>
        <v>41935.625</v>
      </c>
      <c r="B197" s="1">
        <f ca="1">IFERROR(__xludf.DUMMYFUNCTION("""COMPUTED_VALUE"""),6700)</f>
        <v>6700</v>
      </c>
      <c r="C197" s="2">
        <f ca="1">IFERROR(__xludf.DUMMYFUNCTION("""COMPUTED_VALUE"""),41935.625)</f>
        <v>41935.625</v>
      </c>
      <c r="D197" s="1">
        <f ca="1">IFERROR(__xludf.DUMMYFUNCTION("""COMPUTED_VALUE"""),6700)</f>
        <v>6700</v>
      </c>
    </row>
    <row r="198" spans="1:4" x14ac:dyDescent="0.2">
      <c r="A198" s="2">
        <f ca="1">IFERROR(__xludf.DUMMYFUNCTION("""COMPUTED_VALUE"""),41936.625)</f>
        <v>41936.625</v>
      </c>
      <c r="B198" s="1">
        <f ca="1">IFERROR(__xludf.DUMMYFUNCTION("""COMPUTED_VALUE"""),6600)</f>
        <v>6600</v>
      </c>
      <c r="C198" s="2">
        <f ca="1">IFERROR(__xludf.DUMMYFUNCTION("""COMPUTED_VALUE"""),41936.625)</f>
        <v>41936.625</v>
      </c>
      <c r="D198" s="1">
        <f ca="1">IFERROR(__xludf.DUMMYFUNCTION("""COMPUTED_VALUE"""),6600)</f>
        <v>6600</v>
      </c>
    </row>
    <row r="199" spans="1:4" x14ac:dyDescent="0.2">
      <c r="A199" s="2">
        <f ca="1">IFERROR(__xludf.DUMMYFUNCTION("""COMPUTED_VALUE"""),41939.625)</f>
        <v>41939.625</v>
      </c>
      <c r="B199" s="1">
        <f ca="1">IFERROR(__xludf.DUMMYFUNCTION("""COMPUTED_VALUE"""),6525)</f>
        <v>6525</v>
      </c>
      <c r="C199" s="2">
        <f ca="1">IFERROR(__xludf.DUMMYFUNCTION("""COMPUTED_VALUE"""),41939.625)</f>
        <v>41939.625</v>
      </c>
      <c r="D199" s="1">
        <f ca="1">IFERROR(__xludf.DUMMYFUNCTION("""COMPUTED_VALUE"""),6525)</f>
        <v>6525</v>
      </c>
    </row>
    <row r="200" spans="1:4" x14ac:dyDescent="0.2">
      <c r="A200" s="2">
        <f ca="1">IFERROR(__xludf.DUMMYFUNCTION("""COMPUTED_VALUE"""),41940.625)</f>
        <v>41940.625</v>
      </c>
      <c r="B200" s="1">
        <f ca="1">IFERROR(__xludf.DUMMYFUNCTION("""COMPUTED_VALUE"""),6650)</f>
        <v>6650</v>
      </c>
      <c r="C200" s="2">
        <f ca="1">IFERROR(__xludf.DUMMYFUNCTION("""COMPUTED_VALUE"""),41940.625)</f>
        <v>41940.625</v>
      </c>
      <c r="D200" s="1">
        <f ca="1">IFERROR(__xludf.DUMMYFUNCTION("""COMPUTED_VALUE"""),6650)</f>
        <v>6650</v>
      </c>
    </row>
    <row r="201" spans="1:4" x14ac:dyDescent="0.2">
      <c r="A201" s="2">
        <f ca="1">IFERROR(__xludf.DUMMYFUNCTION("""COMPUTED_VALUE"""),41941.625)</f>
        <v>41941.625</v>
      </c>
      <c r="B201" s="1">
        <f ca="1">IFERROR(__xludf.DUMMYFUNCTION("""COMPUTED_VALUE"""),6875)</f>
        <v>6875</v>
      </c>
      <c r="C201" s="2">
        <f ca="1">IFERROR(__xludf.DUMMYFUNCTION("""COMPUTED_VALUE"""),41941.625)</f>
        <v>41941.625</v>
      </c>
      <c r="D201" s="1">
        <f ca="1">IFERROR(__xludf.DUMMYFUNCTION("""COMPUTED_VALUE"""),6875)</f>
        <v>6875</v>
      </c>
    </row>
    <row r="202" spans="1:4" x14ac:dyDescent="0.2">
      <c r="A202" s="2">
        <f ca="1">IFERROR(__xludf.DUMMYFUNCTION("""COMPUTED_VALUE"""),41942.625)</f>
        <v>41942.625</v>
      </c>
      <c r="B202" s="1">
        <f ca="1">IFERROR(__xludf.DUMMYFUNCTION("""COMPUTED_VALUE"""),6900)</f>
        <v>6900</v>
      </c>
      <c r="C202" s="2">
        <f ca="1">IFERROR(__xludf.DUMMYFUNCTION("""COMPUTED_VALUE"""),41942.625)</f>
        <v>41942.625</v>
      </c>
      <c r="D202" s="1">
        <f ca="1">IFERROR(__xludf.DUMMYFUNCTION("""COMPUTED_VALUE"""),6900)</f>
        <v>6900</v>
      </c>
    </row>
    <row r="203" spans="1:4" x14ac:dyDescent="0.2">
      <c r="A203" s="2">
        <f ca="1">IFERROR(__xludf.DUMMYFUNCTION("""COMPUTED_VALUE"""),41943.625)</f>
        <v>41943.625</v>
      </c>
      <c r="B203" s="1">
        <f ca="1">IFERROR(__xludf.DUMMYFUNCTION("""COMPUTED_VALUE"""),6775)</f>
        <v>6775</v>
      </c>
      <c r="C203" s="2">
        <f ca="1">IFERROR(__xludf.DUMMYFUNCTION("""COMPUTED_VALUE"""),41943.625)</f>
        <v>41943.625</v>
      </c>
      <c r="D203" s="1">
        <f ca="1">IFERROR(__xludf.DUMMYFUNCTION("""COMPUTED_VALUE"""),6775)</f>
        <v>6775</v>
      </c>
    </row>
    <row r="204" spans="1:4" x14ac:dyDescent="0.2">
      <c r="A204" s="2">
        <f ca="1">IFERROR(__xludf.DUMMYFUNCTION("""COMPUTED_VALUE"""),41946.625)</f>
        <v>41946.625</v>
      </c>
      <c r="B204" s="1">
        <f ca="1">IFERROR(__xludf.DUMMYFUNCTION("""COMPUTED_VALUE"""),6875)</f>
        <v>6875</v>
      </c>
      <c r="C204" s="2">
        <f ca="1">IFERROR(__xludf.DUMMYFUNCTION("""COMPUTED_VALUE"""),41946.625)</f>
        <v>41946.625</v>
      </c>
      <c r="D204" s="1">
        <f ca="1">IFERROR(__xludf.DUMMYFUNCTION("""COMPUTED_VALUE"""),6875)</f>
        <v>6875</v>
      </c>
    </row>
    <row r="205" spans="1:4" x14ac:dyDescent="0.2">
      <c r="A205" s="2">
        <f ca="1">IFERROR(__xludf.DUMMYFUNCTION("""COMPUTED_VALUE"""),41947.625)</f>
        <v>41947.625</v>
      </c>
      <c r="B205" s="1">
        <f ca="1">IFERROR(__xludf.DUMMYFUNCTION("""COMPUTED_VALUE"""),6775)</f>
        <v>6775</v>
      </c>
      <c r="C205" s="2">
        <f ca="1">IFERROR(__xludf.DUMMYFUNCTION("""COMPUTED_VALUE"""),41947.625)</f>
        <v>41947.625</v>
      </c>
      <c r="D205" s="1">
        <f ca="1">IFERROR(__xludf.DUMMYFUNCTION("""COMPUTED_VALUE"""),6775)</f>
        <v>6775</v>
      </c>
    </row>
    <row r="206" spans="1:4" x14ac:dyDescent="0.2">
      <c r="A206" s="2">
        <f ca="1">IFERROR(__xludf.DUMMYFUNCTION("""COMPUTED_VALUE"""),41948.625)</f>
        <v>41948.625</v>
      </c>
      <c r="B206" s="1">
        <f ca="1">IFERROR(__xludf.DUMMYFUNCTION("""COMPUTED_VALUE"""),6950)</f>
        <v>6950</v>
      </c>
      <c r="C206" s="2">
        <f ca="1">IFERROR(__xludf.DUMMYFUNCTION("""COMPUTED_VALUE"""),41948.625)</f>
        <v>41948.625</v>
      </c>
      <c r="D206" s="1">
        <f ca="1">IFERROR(__xludf.DUMMYFUNCTION("""COMPUTED_VALUE"""),6950)</f>
        <v>6950</v>
      </c>
    </row>
    <row r="207" spans="1:4" x14ac:dyDescent="0.2">
      <c r="A207" s="2">
        <f ca="1">IFERROR(__xludf.DUMMYFUNCTION("""COMPUTED_VALUE"""),41949.625)</f>
        <v>41949.625</v>
      </c>
      <c r="B207" s="1">
        <f ca="1">IFERROR(__xludf.DUMMYFUNCTION("""COMPUTED_VALUE"""),6950)</f>
        <v>6950</v>
      </c>
      <c r="C207" s="2">
        <f ca="1">IFERROR(__xludf.DUMMYFUNCTION("""COMPUTED_VALUE"""),41949.625)</f>
        <v>41949.625</v>
      </c>
      <c r="D207" s="1">
        <f ca="1">IFERROR(__xludf.DUMMYFUNCTION("""COMPUTED_VALUE"""),6950)</f>
        <v>6950</v>
      </c>
    </row>
    <row r="208" spans="1:4" x14ac:dyDescent="0.2">
      <c r="A208" s="2">
        <f ca="1">IFERROR(__xludf.DUMMYFUNCTION("""COMPUTED_VALUE"""),41950.625)</f>
        <v>41950.625</v>
      </c>
      <c r="B208" s="1">
        <f ca="1">IFERROR(__xludf.DUMMYFUNCTION("""COMPUTED_VALUE"""),6950)</f>
        <v>6950</v>
      </c>
      <c r="C208" s="2">
        <f ca="1">IFERROR(__xludf.DUMMYFUNCTION("""COMPUTED_VALUE"""),41950.625)</f>
        <v>41950.625</v>
      </c>
      <c r="D208" s="1">
        <f ca="1">IFERROR(__xludf.DUMMYFUNCTION("""COMPUTED_VALUE"""),6950)</f>
        <v>6950</v>
      </c>
    </row>
    <row r="209" spans="1:4" x14ac:dyDescent="0.2">
      <c r="A209" s="2">
        <f ca="1">IFERROR(__xludf.DUMMYFUNCTION("""COMPUTED_VALUE"""),41953.625)</f>
        <v>41953.625</v>
      </c>
      <c r="B209" s="1">
        <f ca="1">IFERROR(__xludf.DUMMYFUNCTION("""COMPUTED_VALUE"""),6725)</f>
        <v>6725</v>
      </c>
      <c r="C209" s="2">
        <f ca="1">IFERROR(__xludf.DUMMYFUNCTION("""COMPUTED_VALUE"""),41953.625)</f>
        <v>41953.625</v>
      </c>
      <c r="D209" s="1">
        <f ca="1">IFERROR(__xludf.DUMMYFUNCTION("""COMPUTED_VALUE"""),6725)</f>
        <v>6725</v>
      </c>
    </row>
    <row r="210" spans="1:4" x14ac:dyDescent="0.2">
      <c r="A210" s="2">
        <f ca="1">IFERROR(__xludf.DUMMYFUNCTION("""COMPUTED_VALUE"""),41954.625)</f>
        <v>41954.625</v>
      </c>
      <c r="B210" s="1">
        <f ca="1">IFERROR(__xludf.DUMMYFUNCTION("""COMPUTED_VALUE"""),6875)</f>
        <v>6875</v>
      </c>
      <c r="C210" s="2">
        <f ca="1">IFERROR(__xludf.DUMMYFUNCTION("""COMPUTED_VALUE"""),41954.625)</f>
        <v>41954.625</v>
      </c>
      <c r="D210" s="1">
        <f ca="1">IFERROR(__xludf.DUMMYFUNCTION("""COMPUTED_VALUE"""),6875)</f>
        <v>6875</v>
      </c>
    </row>
    <row r="211" spans="1:4" x14ac:dyDescent="0.2">
      <c r="A211" s="2">
        <f ca="1">IFERROR(__xludf.DUMMYFUNCTION("""COMPUTED_VALUE"""),41955.625)</f>
        <v>41955.625</v>
      </c>
      <c r="B211" s="1">
        <f ca="1">IFERROR(__xludf.DUMMYFUNCTION("""COMPUTED_VALUE"""),7100)</f>
        <v>7100</v>
      </c>
      <c r="C211" s="2">
        <f ca="1">IFERROR(__xludf.DUMMYFUNCTION("""COMPUTED_VALUE"""),41955.625)</f>
        <v>41955.625</v>
      </c>
      <c r="D211" s="1">
        <f ca="1">IFERROR(__xludf.DUMMYFUNCTION("""COMPUTED_VALUE"""),7100)</f>
        <v>7100</v>
      </c>
    </row>
    <row r="212" spans="1:4" x14ac:dyDescent="0.2">
      <c r="A212" s="2">
        <f ca="1">IFERROR(__xludf.DUMMYFUNCTION("""COMPUTED_VALUE"""),41956.625)</f>
        <v>41956.625</v>
      </c>
      <c r="B212" s="1">
        <f ca="1">IFERROR(__xludf.DUMMYFUNCTION("""COMPUTED_VALUE"""),7100)</f>
        <v>7100</v>
      </c>
      <c r="C212" s="2">
        <f ca="1">IFERROR(__xludf.DUMMYFUNCTION("""COMPUTED_VALUE"""),41956.625)</f>
        <v>41956.625</v>
      </c>
      <c r="D212" s="1">
        <f ca="1">IFERROR(__xludf.DUMMYFUNCTION("""COMPUTED_VALUE"""),7100)</f>
        <v>7100</v>
      </c>
    </row>
    <row r="213" spans="1:4" x14ac:dyDescent="0.2">
      <c r="A213" s="2">
        <f ca="1">IFERROR(__xludf.DUMMYFUNCTION("""COMPUTED_VALUE"""),41957.625)</f>
        <v>41957.625</v>
      </c>
      <c r="B213" s="1">
        <f ca="1">IFERROR(__xludf.DUMMYFUNCTION("""COMPUTED_VALUE"""),7175)</f>
        <v>7175</v>
      </c>
      <c r="C213" s="2">
        <f ca="1">IFERROR(__xludf.DUMMYFUNCTION("""COMPUTED_VALUE"""),41957.625)</f>
        <v>41957.625</v>
      </c>
      <c r="D213" s="1">
        <f ca="1">IFERROR(__xludf.DUMMYFUNCTION("""COMPUTED_VALUE"""),7175)</f>
        <v>7175</v>
      </c>
    </row>
    <row r="214" spans="1:4" x14ac:dyDescent="0.2">
      <c r="A214" s="2">
        <f ca="1">IFERROR(__xludf.DUMMYFUNCTION("""COMPUTED_VALUE"""),41960.625)</f>
        <v>41960.625</v>
      </c>
      <c r="B214" s="1">
        <f ca="1">IFERROR(__xludf.DUMMYFUNCTION("""COMPUTED_VALUE"""),7175)</f>
        <v>7175</v>
      </c>
      <c r="C214" s="2">
        <f ca="1">IFERROR(__xludf.DUMMYFUNCTION("""COMPUTED_VALUE"""),41960.625)</f>
        <v>41960.625</v>
      </c>
      <c r="D214" s="1">
        <f ca="1">IFERROR(__xludf.DUMMYFUNCTION("""COMPUTED_VALUE"""),7125)</f>
        <v>7125</v>
      </c>
    </row>
    <row r="215" spans="1:4" x14ac:dyDescent="0.2">
      <c r="A215" s="2">
        <f ca="1">IFERROR(__xludf.DUMMYFUNCTION("""COMPUTED_VALUE"""),41961.625)</f>
        <v>41961.625</v>
      </c>
      <c r="B215" s="1">
        <f ca="1">IFERROR(__xludf.DUMMYFUNCTION("""COMPUTED_VALUE"""),7200)</f>
        <v>7200</v>
      </c>
      <c r="C215" s="2">
        <f ca="1">IFERROR(__xludf.DUMMYFUNCTION("""COMPUTED_VALUE"""),41961.625)</f>
        <v>41961.625</v>
      </c>
      <c r="D215" s="1">
        <f ca="1">IFERROR(__xludf.DUMMYFUNCTION("""COMPUTED_VALUE"""),7200)</f>
        <v>7200</v>
      </c>
    </row>
    <row r="216" spans="1:4" x14ac:dyDescent="0.2">
      <c r="A216" s="2">
        <f ca="1">IFERROR(__xludf.DUMMYFUNCTION("""COMPUTED_VALUE"""),41962.625)</f>
        <v>41962.625</v>
      </c>
      <c r="B216" s="1">
        <f ca="1">IFERROR(__xludf.DUMMYFUNCTION("""COMPUTED_VALUE"""),7150)</f>
        <v>7150</v>
      </c>
      <c r="C216" s="2">
        <f ca="1">IFERROR(__xludf.DUMMYFUNCTION("""COMPUTED_VALUE"""),41962.625)</f>
        <v>41962.625</v>
      </c>
      <c r="D216" s="1">
        <f ca="1">IFERROR(__xludf.DUMMYFUNCTION("""COMPUTED_VALUE"""),7150)</f>
        <v>7150</v>
      </c>
    </row>
    <row r="217" spans="1:4" x14ac:dyDescent="0.2">
      <c r="A217" s="2">
        <f ca="1">IFERROR(__xludf.DUMMYFUNCTION("""COMPUTED_VALUE"""),41963.625)</f>
        <v>41963.625</v>
      </c>
      <c r="B217" s="1">
        <f ca="1">IFERROR(__xludf.DUMMYFUNCTION("""COMPUTED_VALUE"""),6875)</f>
        <v>6875</v>
      </c>
      <c r="C217" s="2">
        <f ca="1">IFERROR(__xludf.DUMMYFUNCTION("""COMPUTED_VALUE"""),41963.625)</f>
        <v>41963.625</v>
      </c>
      <c r="D217" s="1">
        <f ca="1">IFERROR(__xludf.DUMMYFUNCTION("""COMPUTED_VALUE"""),6875)</f>
        <v>6875</v>
      </c>
    </row>
    <row r="218" spans="1:4" x14ac:dyDescent="0.2">
      <c r="A218" s="2">
        <f ca="1">IFERROR(__xludf.DUMMYFUNCTION("""COMPUTED_VALUE"""),41964.625)</f>
        <v>41964.625</v>
      </c>
      <c r="B218" s="1">
        <f ca="1">IFERROR(__xludf.DUMMYFUNCTION("""COMPUTED_VALUE"""),6950)</f>
        <v>6950</v>
      </c>
      <c r="C218" s="2">
        <f ca="1">IFERROR(__xludf.DUMMYFUNCTION("""COMPUTED_VALUE"""),41964.625)</f>
        <v>41964.625</v>
      </c>
      <c r="D218" s="1">
        <f ca="1">IFERROR(__xludf.DUMMYFUNCTION("""COMPUTED_VALUE"""),6950)</f>
        <v>6950</v>
      </c>
    </row>
    <row r="219" spans="1:4" x14ac:dyDescent="0.2">
      <c r="A219" s="2">
        <f ca="1">IFERROR(__xludf.DUMMYFUNCTION("""COMPUTED_VALUE"""),41967.625)</f>
        <v>41967.625</v>
      </c>
      <c r="B219" s="1">
        <f ca="1">IFERROR(__xludf.DUMMYFUNCTION("""COMPUTED_VALUE"""),7100)</f>
        <v>7100</v>
      </c>
      <c r="C219" s="2">
        <f ca="1">IFERROR(__xludf.DUMMYFUNCTION("""COMPUTED_VALUE"""),41967.625)</f>
        <v>41967.625</v>
      </c>
      <c r="D219" s="1">
        <f ca="1">IFERROR(__xludf.DUMMYFUNCTION("""COMPUTED_VALUE"""),7100)</f>
        <v>7100</v>
      </c>
    </row>
    <row r="220" spans="1:4" x14ac:dyDescent="0.2">
      <c r="A220" s="2">
        <f ca="1">IFERROR(__xludf.DUMMYFUNCTION("""COMPUTED_VALUE"""),41968.625)</f>
        <v>41968.625</v>
      </c>
      <c r="B220" s="1">
        <f ca="1">IFERROR(__xludf.DUMMYFUNCTION("""COMPUTED_VALUE"""),6900)</f>
        <v>6900</v>
      </c>
      <c r="C220" s="2">
        <f ca="1">IFERROR(__xludf.DUMMYFUNCTION("""COMPUTED_VALUE"""),41968.625)</f>
        <v>41968.625</v>
      </c>
      <c r="D220" s="1">
        <f ca="1">IFERROR(__xludf.DUMMYFUNCTION("""COMPUTED_VALUE"""),6900)</f>
        <v>6900</v>
      </c>
    </row>
    <row r="221" spans="1:4" x14ac:dyDescent="0.2">
      <c r="A221" s="2">
        <f ca="1">IFERROR(__xludf.DUMMYFUNCTION("""COMPUTED_VALUE"""),41969.625)</f>
        <v>41969.625</v>
      </c>
      <c r="B221" s="1">
        <f ca="1">IFERROR(__xludf.DUMMYFUNCTION("""COMPUTED_VALUE"""),7025)</f>
        <v>7025</v>
      </c>
      <c r="C221" s="2">
        <f ca="1">IFERROR(__xludf.DUMMYFUNCTION("""COMPUTED_VALUE"""),41969.625)</f>
        <v>41969.625</v>
      </c>
      <c r="D221" s="1">
        <f ca="1">IFERROR(__xludf.DUMMYFUNCTION("""COMPUTED_VALUE"""),7025)</f>
        <v>7025</v>
      </c>
    </row>
    <row r="222" spans="1:4" x14ac:dyDescent="0.2">
      <c r="A222" s="2">
        <f ca="1">IFERROR(__xludf.DUMMYFUNCTION("""COMPUTED_VALUE"""),41970.625)</f>
        <v>41970.625</v>
      </c>
      <c r="B222" s="1">
        <f ca="1">IFERROR(__xludf.DUMMYFUNCTION("""COMPUTED_VALUE"""),7100)</f>
        <v>7100</v>
      </c>
      <c r="C222" s="2">
        <f ca="1">IFERROR(__xludf.DUMMYFUNCTION("""COMPUTED_VALUE"""),41970.625)</f>
        <v>41970.625</v>
      </c>
      <c r="D222" s="1">
        <f ca="1">IFERROR(__xludf.DUMMYFUNCTION("""COMPUTED_VALUE"""),7100)</f>
        <v>7100</v>
      </c>
    </row>
    <row r="223" spans="1:4" x14ac:dyDescent="0.2">
      <c r="A223" s="2">
        <f ca="1">IFERROR(__xludf.DUMMYFUNCTION("""COMPUTED_VALUE"""),41971.625)</f>
        <v>41971.625</v>
      </c>
      <c r="B223" s="1">
        <f ca="1">IFERROR(__xludf.DUMMYFUNCTION("""COMPUTED_VALUE"""),7125)</f>
        <v>7125</v>
      </c>
      <c r="C223" s="2">
        <f ca="1">IFERROR(__xludf.DUMMYFUNCTION("""COMPUTED_VALUE"""),41971.625)</f>
        <v>41971.625</v>
      </c>
      <c r="D223" s="1">
        <f ca="1">IFERROR(__xludf.DUMMYFUNCTION("""COMPUTED_VALUE"""),7125)</f>
        <v>7125</v>
      </c>
    </row>
    <row r="224" spans="1:4" x14ac:dyDescent="0.2">
      <c r="A224" s="2">
        <f ca="1">IFERROR(__xludf.DUMMYFUNCTION("""COMPUTED_VALUE"""),41974.625)</f>
        <v>41974.625</v>
      </c>
      <c r="B224" s="1">
        <f ca="1">IFERROR(__xludf.DUMMYFUNCTION("""COMPUTED_VALUE"""),7100)</f>
        <v>7100</v>
      </c>
      <c r="C224" s="2">
        <f ca="1">IFERROR(__xludf.DUMMYFUNCTION("""COMPUTED_VALUE"""),41974.625)</f>
        <v>41974.625</v>
      </c>
      <c r="D224" s="1">
        <f ca="1">IFERROR(__xludf.DUMMYFUNCTION("""COMPUTED_VALUE"""),7125)</f>
        <v>7125</v>
      </c>
    </row>
    <row r="225" spans="1:4" x14ac:dyDescent="0.2">
      <c r="A225" s="2">
        <f ca="1">IFERROR(__xludf.DUMMYFUNCTION("""COMPUTED_VALUE"""),41975.625)</f>
        <v>41975.625</v>
      </c>
      <c r="B225" s="1">
        <f ca="1">IFERROR(__xludf.DUMMYFUNCTION("""COMPUTED_VALUE"""),7100)</f>
        <v>7100</v>
      </c>
      <c r="C225" s="2">
        <f ca="1">IFERROR(__xludf.DUMMYFUNCTION("""COMPUTED_VALUE"""),41975.625)</f>
        <v>41975.625</v>
      </c>
      <c r="D225" s="1">
        <f ca="1">IFERROR(__xludf.DUMMYFUNCTION("""COMPUTED_VALUE"""),7000)</f>
        <v>7000</v>
      </c>
    </row>
    <row r="226" spans="1:4" x14ac:dyDescent="0.2">
      <c r="A226" s="2">
        <f ca="1">IFERROR(__xludf.DUMMYFUNCTION("""COMPUTED_VALUE"""),41976.625)</f>
        <v>41976.625</v>
      </c>
      <c r="B226" s="1">
        <f ca="1">IFERROR(__xludf.DUMMYFUNCTION("""COMPUTED_VALUE"""),7075)</f>
        <v>7075</v>
      </c>
      <c r="C226" s="2">
        <f ca="1">IFERROR(__xludf.DUMMYFUNCTION("""COMPUTED_VALUE"""),41976.625)</f>
        <v>41976.625</v>
      </c>
      <c r="D226" s="1">
        <f ca="1">IFERROR(__xludf.DUMMYFUNCTION("""COMPUTED_VALUE"""),6900)</f>
        <v>6900</v>
      </c>
    </row>
    <row r="227" spans="1:4" x14ac:dyDescent="0.2">
      <c r="A227" s="2">
        <f ca="1">IFERROR(__xludf.DUMMYFUNCTION("""COMPUTED_VALUE"""),41977.625)</f>
        <v>41977.625</v>
      </c>
      <c r="B227" s="1">
        <f ca="1">IFERROR(__xludf.DUMMYFUNCTION("""COMPUTED_VALUE"""),6950)</f>
        <v>6950</v>
      </c>
      <c r="C227" s="2">
        <f ca="1">IFERROR(__xludf.DUMMYFUNCTION("""COMPUTED_VALUE"""),41977.625)</f>
        <v>41977.625</v>
      </c>
      <c r="D227" s="1">
        <f ca="1">IFERROR(__xludf.DUMMYFUNCTION("""COMPUTED_VALUE"""),6975)</f>
        <v>6975</v>
      </c>
    </row>
    <row r="228" spans="1:4" x14ac:dyDescent="0.2">
      <c r="A228" s="2">
        <f ca="1">IFERROR(__xludf.DUMMYFUNCTION("""COMPUTED_VALUE"""),41978.625)</f>
        <v>41978.625</v>
      </c>
      <c r="B228" s="1">
        <f ca="1">IFERROR(__xludf.DUMMYFUNCTION("""COMPUTED_VALUE"""),6975)</f>
        <v>6975</v>
      </c>
      <c r="C228" s="2">
        <f ca="1">IFERROR(__xludf.DUMMYFUNCTION("""COMPUTED_VALUE"""),41978.625)</f>
        <v>41978.625</v>
      </c>
      <c r="D228" s="1">
        <f ca="1">IFERROR(__xludf.DUMMYFUNCTION("""COMPUTED_VALUE"""),7100)</f>
        <v>7100</v>
      </c>
    </row>
    <row r="229" spans="1:4" x14ac:dyDescent="0.2">
      <c r="A229" s="2">
        <f ca="1">IFERROR(__xludf.DUMMYFUNCTION("""COMPUTED_VALUE"""),41981.625)</f>
        <v>41981.625</v>
      </c>
      <c r="B229" s="1">
        <f ca="1">IFERROR(__xludf.DUMMYFUNCTION("""COMPUTED_VALUE"""),7175)</f>
        <v>7175</v>
      </c>
      <c r="C229" s="2">
        <f ca="1">IFERROR(__xludf.DUMMYFUNCTION("""COMPUTED_VALUE"""),41981.625)</f>
        <v>41981.625</v>
      </c>
      <c r="D229" s="1">
        <f ca="1">IFERROR(__xludf.DUMMYFUNCTION("""COMPUTED_VALUE"""),7100)</f>
        <v>7100</v>
      </c>
    </row>
    <row r="230" spans="1:4" x14ac:dyDescent="0.2">
      <c r="A230" s="2">
        <f ca="1">IFERROR(__xludf.DUMMYFUNCTION("""COMPUTED_VALUE"""),41982.625)</f>
        <v>41982.625</v>
      </c>
      <c r="B230" s="1">
        <f ca="1">IFERROR(__xludf.DUMMYFUNCTION("""COMPUTED_VALUE"""),7100)</f>
        <v>7100</v>
      </c>
      <c r="C230" s="2">
        <f ca="1">IFERROR(__xludf.DUMMYFUNCTION("""COMPUTED_VALUE"""),41982.625)</f>
        <v>41982.625</v>
      </c>
      <c r="D230" s="1">
        <f ca="1">IFERROR(__xludf.DUMMYFUNCTION("""COMPUTED_VALUE"""),7100)</f>
        <v>7100</v>
      </c>
    </row>
    <row r="231" spans="1:4" x14ac:dyDescent="0.2">
      <c r="A231" s="2">
        <f ca="1">IFERROR(__xludf.DUMMYFUNCTION("""COMPUTED_VALUE"""),41983.625)</f>
        <v>41983.625</v>
      </c>
      <c r="B231" s="1">
        <f ca="1">IFERROR(__xludf.DUMMYFUNCTION("""COMPUTED_VALUE"""),7100)</f>
        <v>7100</v>
      </c>
      <c r="C231" s="2">
        <f ca="1">IFERROR(__xludf.DUMMYFUNCTION("""COMPUTED_VALUE"""),41983.625)</f>
        <v>41983.625</v>
      </c>
      <c r="D231" s="1">
        <f ca="1">IFERROR(__xludf.DUMMYFUNCTION("""COMPUTED_VALUE"""),7150)</f>
        <v>7150</v>
      </c>
    </row>
    <row r="232" spans="1:4" x14ac:dyDescent="0.2">
      <c r="A232" s="2">
        <f ca="1">IFERROR(__xludf.DUMMYFUNCTION("""COMPUTED_VALUE"""),41984.625)</f>
        <v>41984.625</v>
      </c>
      <c r="B232" s="1">
        <f ca="1">IFERROR(__xludf.DUMMYFUNCTION("""COMPUTED_VALUE"""),7125)</f>
        <v>7125</v>
      </c>
      <c r="C232" s="2">
        <f ca="1">IFERROR(__xludf.DUMMYFUNCTION("""COMPUTED_VALUE"""),41984.625)</f>
        <v>41984.625</v>
      </c>
      <c r="D232" s="1">
        <f ca="1">IFERROR(__xludf.DUMMYFUNCTION("""COMPUTED_VALUE"""),7100)</f>
        <v>7100</v>
      </c>
    </row>
    <row r="233" spans="1:4" x14ac:dyDescent="0.2">
      <c r="A233" s="2">
        <f ca="1">IFERROR(__xludf.DUMMYFUNCTION("""COMPUTED_VALUE"""),41985.625)</f>
        <v>41985.625</v>
      </c>
      <c r="B233" s="1">
        <f ca="1">IFERROR(__xludf.DUMMYFUNCTION("""COMPUTED_VALUE"""),7100)</f>
        <v>7100</v>
      </c>
      <c r="C233" s="2">
        <f ca="1">IFERROR(__xludf.DUMMYFUNCTION("""COMPUTED_VALUE"""),41985.625)</f>
        <v>41985.625</v>
      </c>
      <c r="D233" s="1">
        <f ca="1">IFERROR(__xludf.DUMMYFUNCTION("""COMPUTED_VALUE"""),7175)</f>
        <v>7175</v>
      </c>
    </row>
    <row r="234" spans="1:4" x14ac:dyDescent="0.2">
      <c r="A234" s="2">
        <f ca="1">IFERROR(__xludf.DUMMYFUNCTION("""COMPUTED_VALUE"""),41988.625)</f>
        <v>41988.625</v>
      </c>
      <c r="B234" s="1">
        <f ca="1">IFERROR(__xludf.DUMMYFUNCTION("""COMPUTED_VALUE"""),7100)</f>
        <v>7100</v>
      </c>
      <c r="C234" s="2">
        <f ca="1">IFERROR(__xludf.DUMMYFUNCTION("""COMPUTED_VALUE"""),41988.625)</f>
        <v>41988.625</v>
      </c>
      <c r="D234" s="1">
        <f ca="1">IFERROR(__xludf.DUMMYFUNCTION("""COMPUTED_VALUE"""),7025)</f>
        <v>7025</v>
      </c>
    </row>
    <row r="235" spans="1:4" x14ac:dyDescent="0.2">
      <c r="A235" s="2">
        <f ca="1">IFERROR(__xludf.DUMMYFUNCTION("""COMPUTED_VALUE"""),41989.625)</f>
        <v>41989.625</v>
      </c>
      <c r="B235" s="1">
        <f ca="1">IFERROR(__xludf.DUMMYFUNCTION("""COMPUTED_VALUE"""),6900)</f>
        <v>6900</v>
      </c>
      <c r="C235" s="2">
        <f ca="1">IFERROR(__xludf.DUMMYFUNCTION("""COMPUTED_VALUE"""),41989.625)</f>
        <v>41989.625</v>
      </c>
      <c r="D235" s="1">
        <f ca="1">IFERROR(__xludf.DUMMYFUNCTION("""COMPUTED_VALUE"""),7100)</f>
        <v>7100</v>
      </c>
    </row>
    <row r="236" spans="1:4" x14ac:dyDescent="0.2">
      <c r="A236" s="2">
        <f ca="1">IFERROR(__xludf.DUMMYFUNCTION("""COMPUTED_VALUE"""),41990.625)</f>
        <v>41990.625</v>
      </c>
      <c r="B236" s="1">
        <f ca="1">IFERROR(__xludf.DUMMYFUNCTION("""COMPUTED_VALUE"""),7100)</f>
        <v>7100</v>
      </c>
      <c r="C236" s="2">
        <f ca="1">IFERROR(__xludf.DUMMYFUNCTION("""COMPUTED_VALUE"""),41990.625)</f>
        <v>41990.625</v>
      </c>
      <c r="D236" s="1">
        <f ca="1">IFERROR(__xludf.DUMMYFUNCTION("""COMPUTED_VALUE"""),7025)</f>
        <v>7025</v>
      </c>
    </row>
    <row r="237" spans="1:4" x14ac:dyDescent="0.2">
      <c r="A237" s="2">
        <f ca="1">IFERROR(__xludf.DUMMYFUNCTION("""COMPUTED_VALUE"""),41991.625)</f>
        <v>41991.625</v>
      </c>
      <c r="B237" s="1">
        <f ca="1">IFERROR(__xludf.DUMMYFUNCTION("""COMPUTED_VALUE"""),7150)</f>
        <v>7150</v>
      </c>
      <c r="C237" s="2">
        <f ca="1">IFERROR(__xludf.DUMMYFUNCTION("""COMPUTED_VALUE"""),41991.625)</f>
        <v>41991.625</v>
      </c>
      <c r="D237" s="1">
        <f ca="1">IFERROR(__xludf.DUMMYFUNCTION("""COMPUTED_VALUE"""),7200)</f>
        <v>7200</v>
      </c>
    </row>
    <row r="238" spans="1:4" x14ac:dyDescent="0.2">
      <c r="A238" s="2">
        <f ca="1">IFERROR(__xludf.DUMMYFUNCTION("""COMPUTED_VALUE"""),41992.625)</f>
        <v>41992.625</v>
      </c>
      <c r="B238" s="1">
        <f ca="1">IFERROR(__xludf.DUMMYFUNCTION("""COMPUTED_VALUE"""),7250)</f>
        <v>7250</v>
      </c>
      <c r="C238" s="2">
        <f ca="1">IFERROR(__xludf.DUMMYFUNCTION("""COMPUTED_VALUE"""),41992.625)</f>
        <v>41992.625</v>
      </c>
      <c r="D238" s="1">
        <f ca="1">IFERROR(__xludf.DUMMYFUNCTION("""COMPUTED_VALUE"""),7200)</f>
        <v>7200</v>
      </c>
    </row>
    <row r="239" spans="1:4" x14ac:dyDescent="0.2">
      <c r="A239" s="2">
        <f ca="1">IFERROR(__xludf.DUMMYFUNCTION("""COMPUTED_VALUE"""),41995.625)</f>
        <v>41995.625</v>
      </c>
      <c r="B239" s="1">
        <f ca="1">IFERROR(__xludf.DUMMYFUNCTION("""COMPUTED_VALUE"""),7200)</f>
        <v>7200</v>
      </c>
      <c r="C239" s="2">
        <f ca="1">IFERROR(__xludf.DUMMYFUNCTION("""COMPUTED_VALUE"""),41995.625)</f>
        <v>41995.625</v>
      </c>
      <c r="D239" s="1">
        <f ca="1">IFERROR(__xludf.DUMMYFUNCTION("""COMPUTED_VALUE"""),7125)</f>
        <v>7125</v>
      </c>
    </row>
    <row r="240" spans="1:4" x14ac:dyDescent="0.2">
      <c r="A240" s="2">
        <f ca="1">IFERROR(__xludf.DUMMYFUNCTION("""COMPUTED_VALUE"""),41996.625)</f>
        <v>41996.625</v>
      </c>
      <c r="B240" s="1">
        <f ca="1">IFERROR(__xludf.DUMMYFUNCTION("""COMPUTED_VALUE"""),7225)</f>
        <v>7225</v>
      </c>
      <c r="C240" s="2">
        <f ca="1">IFERROR(__xludf.DUMMYFUNCTION("""COMPUTED_VALUE"""),41996.625)</f>
        <v>41996.625</v>
      </c>
      <c r="D240" s="1">
        <f ca="1">IFERROR(__xludf.DUMMYFUNCTION("""COMPUTED_VALUE"""),7275)</f>
        <v>7275</v>
      </c>
    </row>
    <row r="241" spans="1:4" x14ac:dyDescent="0.2">
      <c r="A241" s="2">
        <f ca="1">IFERROR(__xludf.DUMMYFUNCTION("""COMPUTED_VALUE"""),41997.625)</f>
        <v>41997.625</v>
      </c>
      <c r="B241" s="1">
        <f ca="1">IFERROR(__xludf.DUMMYFUNCTION("""COMPUTED_VALUE"""),7225)</f>
        <v>7225</v>
      </c>
      <c r="C241" s="2">
        <f ca="1">IFERROR(__xludf.DUMMYFUNCTION("""COMPUTED_VALUE"""),41997.625)</f>
        <v>41997.625</v>
      </c>
      <c r="D241" s="1">
        <f ca="1">IFERROR(__xludf.DUMMYFUNCTION("""COMPUTED_VALUE"""),7325)</f>
        <v>7325</v>
      </c>
    </row>
    <row r="242" spans="1:4" x14ac:dyDescent="0.2">
      <c r="A242" s="2">
        <f ca="1">IFERROR(__xludf.DUMMYFUNCTION("""COMPUTED_VALUE"""),42002.625)</f>
        <v>42002.625</v>
      </c>
      <c r="B242" s="1">
        <f ca="1">IFERROR(__xludf.DUMMYFUNCTION("""COMPUTED_VALUE"""),7375)</f>
        <v>7375</v>
      </c>
      <c r="C242" s="2">
        <f ca="1">IFERROR(__xludf.DUMMYFUNCTION("""COMPUTED_VALUE"""),42002.625)</f>
        <v>42002.625</v>
      </c>
      <c r="D242" s="1">
        <f ca="1">IFERROR(__xludf.DUMMYFUNCTION("""COMPUTED_VALUE"""),7350)</f>
        <v>7350</v>
      </c>
    </row>
    <row r="243" spans="1:4" x14ac:dyDescent="0.2">
      <c r="A243" s="2">
        <f ca="1">IFERROR(__xludf.DUMMYFUNCTION("""COMPUTED_VALUE"""),42003.625)</f>
        <v>42003.625</v>
      </c>
      <c r="B243" s="1">
        <f ca="1">IFERROR(__xludf.DUMMYFUNCTION("""COMPUTED_VALUE"""),7400)</f>
        <v>7400</v>
      </c>
      <c r="C243" s="2">
        <f ca="1">IFERROR(__xludf.DUMMYFUNCTION("""COMPUTED_VALUE"""),42003.625)</f>
        <v>42003.625</v>
      </c>
      <c r="D243" s="1">
        <f ca="1">IFERROR(__xludf.DUMMYFUNCTION("""COMPUTED_VALUE"""),7425)</f>
        <v>7425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Angga Saputra</cp:lastModifiedBy>
  <dcterms:modified xsi:type="dcterms:W3CDTF">2022-03-01T16:16:55Z</dcterms:modified>
</cp:coreProperties>
</file>